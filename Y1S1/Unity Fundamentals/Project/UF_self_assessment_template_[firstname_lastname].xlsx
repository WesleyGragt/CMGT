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wesle\Downloads\"/>
    </mc:Choice>
  </mc:AlternateContent>
  <xr:revisionPtr revIDLastSave="0" documentId="13_ncr:1_{276FDAC8-DAFA-457F-BE94-C13079DB0FD5}" xr6:coauthVersionLast="47" xr6:coauthVersionMax="47" xr10:uidLastSave="{00000000-0000-0000-0000-000000000000}"/>
  <bookViews>
    <workbookView xWindow="-108" yWindow="-108" windowWidth="30936" windowHeight="18696" activeTab="1" xr2:uid="{00000000-000D-0000-FFFF-FFFF00000000}"/>
  </bookViews>
  <sheets>
    <sheet name="Tab 1 - Requirements check" sheetId="1" r:id="rId1"/>
    <sheet name="Tab 2 - Self assessment" sheetId="5" r:id="rId2"/>
    <sheet name="Tab 3 - Example Self assessment"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0" i="6" l="1"/>
  <c r="H64" i="6"/>
  <c r="F64" i="6"/>
  <c r="F78" i="6" s="1"/>
  <c r="H35" i="6"/>
  <c r="F35" i="6"/>
  <c r="F80" i="5"/>
  <c r="F64" i="5"/>
  <c r="F78" i="5" s="1"/>
  <c r="F35" i="5"/>
  <c r="H35" i="5"/>
  <c r="H64" i="5"/>
  <c r="F77" i="6" l="1"/>
  <c r="H77" i="6" s="1"/>
  <c r="F77" i="5"/>
  <c r="H77" i="5" s="1"/>
</calcChain>
</file>

<file path=xl/sharedStrings.xml><?xml version="1.0" encoding="utf-8"?>
<sst xmlns="http://schemas.openxmlformats.org/spreadsheetml/2006/main" count="336" uniqueCount="132">
  <si>
    <t>Upload requirements</t>
  </si>
  <si>
    <t>• Screenshot of your game running fullscreen in a build</t>
  </si>
  <si>
    <t>• A filled in self evaluation (see next tab)</t>
  </si>
  <si>
    <t>Criteria</t>
  </si>
  <si>
    <t>Insufficient</t>
  </si>
  <si>
    <t>0 points</t>
  </si>
  <si>
    <t>Sufficient</t>
  </si>
  <si>
    <t>Good</t>
  </si>
  <si>
    <t>Excellent</t>
  </si>
  <si>
    <t>• a working build of your game</t>
  </si>
  <si>
    <t>• External assets are organized under a descriptive parent folder (e.g. _External_Assets, _Terrrain_Assets)</t>
  </si>
  <si>
    <t>• The hierarchy uses empties for labels and spacing</t>
  </si>
  <si>
    <t>• Scene is structured top-down in logical layers (e.g., managers at top, then environment, ui, dynamic items, etc).</t>
  </si>
  <si>
    <t>• Frequently used GameObjects (e.g., enemies, pickups, obstacles) are implemented as prefabs.</t>
  </si>
  <si>
    <t>• The game employs a simple lighting setup that goes beyond a single directional light
(e.g. correctly setup key, fill light, adjusted shadow type, strength and colors, adjusted ambient colors)</t>
  </si>
  <si>
    <t>• Basic 2d audio has been used for the general ambiance</t>
  </si>
  <si>
    <t>• 3D audio has been used for multiple game assets such as fire for particles, water sounds near water, pickup sounds for pickups</t>
  </si>
  <si>
    <t>• Your game includes a character with simple controls that can walk through the environment with a proper camera setup and collisions.</t>
  </si>
  <si>
    <t>• The project contains more advanced, self-made interactions based on custom scripting.</t>
  </si>
  <si>
    <t>• Multiple texture layers are blended naturally (e.g. soft transitions between dirt, grass, rock)</t>
  </si>
  <si>
    <t>• The project consistently uses audio assets for feedback in all major features</t>
  </si>
  <si>
    <t>• Custom or substantially modified prefabs are being used in addition to external 3rd party prefabs only.</t>
  </si>
  <si>
    <t>• The player controller uses a custom mesh that matches the story (i.e. no kyle the default robot)</t>
  </si>
  <si>
    <t>• Object structures have optimized (compound) colliders over mesh colliders</t>
  </si>
  <si>
    <t>• Layers or tags are used in conjunction with collision logic (e.g., only specific layers interact).</t>
  </si>
  <si>
    <t>Does not meet the sufficient criteria</t>
  </si>
  <si>
    <t>• GameObjects are grouped under descriptive parent objects (e.g., Environment, UI, Enemies, Props).</t>
  </si>
  <si>
    <t>• Object names in the hierarchy are descriptive (e.g., Tree_Oak_01 instead of Cube (3)).</t>
  </si>
  <si>
    <t>0.375 points</t>
  </si>
  <si>
    <t>0.55 points</t>
  </si>
  <si>
    <t>0.75 points</t>
  </si>
  <si>
    <t>• Prefab pivot points are correctly placed in the center, bottom, etc based on what is logical for the given object</t>
  </si>
  <si>
    <r>
      <t xml:space="preserve">• </t>
    </r>
    <r>
      <rPr>
        <i/>
        <sz val="11"/>
        <color theme="1"/>
        <rFont val="Calibri"/>
        <family val="2"/>
        <scheme val="minor"/>
      </rPr>
      <t>All</t>
    </r>
    <r>
      <rPr>
        <sz val="11"/>
        <color theme="1"/>
        <rFont val="Calibri"/>
        <family val="2"/>
        <scheme val="minor"/>
      </rPr>
      <t xml:space="preserve"> assets are organized into folders with correct descriptive names matching the type of asset and your folder names are consistent with respect to casing, spaces, underscores, etc</t>
    </r>
  </si>
  <si>
    <r>
      <t xml:space="preserve">• Self-created prefab </t>
    </r>
    <r>
      <rPr>
        <i/>
        <sz val="11"/>
        <color theme="1"/>
        <rFont val="Calibri"/>
        <family val="2"/>
        <scheme val="minor"/>
      </rPr>
      <t>variants</t>
    </r>
    <r>
      <rPr>
        <sz val="11"/>
        <color theme="1"/>
        <rFont val="Calibri"/>
        <family val="2"/>
        <scheme val="minor"/>
      </rPr>
      <t xml:space="preserve"> are used where appropriate (e.g., multiple variations of a shared base prefab).</t>
    </r>
  </si>
  <si>
    <r>
      <t xml:space="preserve">• Prefab </t>
    </r>
    <r>
      <rPr>
        <i/>
        <sz val="11"/>
        <color theme="1"/>
        <rFont val="Calibri"/>
        <family val="2"/>
        <scheme val="minor"/>
      </rPr>
      <t>instance overrides</t>
    </r>
    <r>
      <rPr>
        <sz val="11"/>
        <color theme="1"/>
        <rFont val="Calibri"/>
        <family val="2"/>
        <scheme val="minor"/>
      </rPr>
      <t xml:space="preserve"> have been used to make prefab instances look distinctive and unique.</t>
    </r>
  </si>
  <si>
    <t>• Your game uses a variety of external assets, including prefabs, textures, 3D models, and sounds.</t>
  </si>
  <si>
    <t>• The player mesh animates correctly.</t>
  </si>
  <si>
    <t>• Project contains multiple UI's (e.g. StartMenu plus In game HUD)</t>
  </si>
  <si>
    <t>• All relevant in-game objects (e.g., environment, characters, pickups) have appropriate colliders.</t>
  </si>
  <si>
    <t>• Basic collider types are used (e.g., BoxCollider, SphereCollider, CapsuleCollider).</t>
  </si>
  <si>
    <t>• Colliders are correctly aligned with the visible shape of the object.</t>
  </si>
  <si>
    <t>• Player and environment interaction is functional (no falling through floor, etc, walking off the world).</t>
  </si>
  <si>
    <t>• Colliders are used correctly to trigger game events.</t>
  </si>
  <si>
    <t>• Rigid body physics are part of the gameplay interaction</t>
  </si>
  <si>
    <r>
      <t xml:space="preserve">• </t>
    </r>
    <r>
      <rPr>
        <i/>
        <sz val="11"/>
        <color theme="1"/>
        <rFont val="Calibri"/>
        <family val="2"/>
        <scheme val="minor"/>
      </rPr>
      <t xml:space="preserve">Most </t>
    </r>
    <r>
      <rPr>
        <sz val="11"/>
        <color theme="1"/>
        <rFont val="Calibri"/>
        <family val="2"/>
        <scheme val="minor"/>
      </rPr>
      <t>assets are organized into folders with correct descriptive names matching the type of asset 
(e.g. Materials, Scripts, Prefabs, etc)</t>
    </r>
  </si>
  <si>
    <t>• The project consists of multiple scenes actively used at runtime    
(loaded in parallel or sequentially, e.g. a MainMenuScene and a GamePlayScene)</t>
  </si>
  <si>
    <t>==&gt;</t>
  </si>
  <si>
    <t>• The terrain is shaped using Unity’s built-in sculpting tools (e.g., raise/lower, smooth, paint height) to create varied topography (e.g., hills, valleys, plateaus)</t>
  </si>
  <si>
    <t>• The project contains 1 or more self keyframed animations, controlling properties for position, size, rotation and color and these animations are applied to relevant in-game assets (e.g. door opening, spinning pickup, dialog).</t>
  </si>
  <si>
    <t>• Multiple animations have been combined into an Animation State machine, which is controlled through scripted conditions (In other words, the animation changes state/the state of the world through conditions).</t>
  </si>
  <si>
    <t>• Animation curves have been applied to convert easing animations into linear or bouncing animations or a similar effect.</t>
  </si>
  <si>
    <t>• The animation uses animation events to trigger in game actions such as playing a sound</t>
  </si>
  <si>
    <t>• A Basic Directional Light with shadows is present in the Scene to adequately light the Scene
(e.g. the light matches the skybox, the scene is playable and not too dark)</t>
  </si>
  <si>
    <t>• A skybox, fog &amp; postprocessing are all present to improve the visuals of the Scene</t>
  </si>
  <si>
    <r>
      <t>• The project uses</t>
    </r>
    <r>
      <rPr>
        <sz val="11"/>
        <color theme="1"/>
        <rFont val="Calibri"/>
        <family val="2"/>
        <scheme val="minor"/>
      </rPr>
      <t xml:space="preserve"> particle effects added at Editor time AND activated/deactivated through scripting</t>
    </r>
  </si>
  <si>
    <t>• The project changes parameters of the particlesystem component for player feedback through scripting or animations.</t>
  </si>
  <si>
    <t>• The project uses custom particle effects developed by the student from scratch</t>
  </si>
  <si>
    <t>• The experience is fully playable without external interference, featuring a clear start, goal, progression and ending.</t>
  </si>
  <si>
    <r>
      <t xml:space="preserve">• Assets </t>
    </r>
    <r>
      <rPr>
        <i/>
        <sz val="11"/>
        <color theme="1"/>
        <rFont val="Calibri"/>
        <family val="2"/>
        <scheme val="minor"/>
      </rPr>
      <t>other than</t>
    </r>
    <r>
      <rPr>
        <sz val="11"/>
        <color theme="1"/>
        <rFont val="Calibri"/>
        <family val="2"/>
        <scheme val="minor"/>
      </rPr>
      <t xml:space="preserve"> the assets provided in the bootcamp have also been used (in addition to/instead of)</t>
    </r>
  </si>
  <si>
    <t>• (Most == good, All = Excellent) External assets have been selected to match visually and provide a consistent look &amp; feel
 (same type of shading, realism, colors, theme, etc)</t>
  </si>
  <si>
    <t>• World and world elements such as lakes have close fitting boundaries</t>
  </si>
  <si>
    <t>• The project applies the provided scripts in extensive and creative ways to create complicated walking simulator functionality. (e.g. multiple variables, action sequences, cause and effects sequences are required to attain the end goal).</t>
  </si>
  <si>
    <t>• Tracks multiple relevant items using images, text and slider/bar variations.</t>
  </si>
  <si>
    <t>• UI employs a more advanced feature, for example, but not limited to: 9 slice scaling images or similar complicated image modes, use of layout managers, tweening libraries for UI animations, minimaps with rendertexture camera's and layers etc, advanced text mesh pro features...</t>
  </si>
  <si>
    <t>• Particle effects (or VFX graphs) use a more complex/advanced feature, such as noise, sub-emitters, and/or trails.</t>
  </si>
  <si>
    <t>• The project uses a more advanced audio feature, for example, but not limited to mixers, reverb zones, filters, …</t>
  </si>
  <si>
    <t>• The project use multiple post-processing volumes for a varied array of effects or employs lens flares.</t>
  </si>
  <si>
    <t>• Your game can be demonstrated in a build.</t>
  </si>
  <si>
    <t>• You scored sufficient at least on ALL criteria.</t>
  </si>
  <si>
    <t>• You filled in this entire self assessment template (see the Criteria - ISGE Layout tab)</t>
  </si>
  <si>
    <r>
      <t xml:space="preserve">A Unity Terrain with a minimum size of 200 x 200 units is used as the </t>
    </r>
    <r>
      <rPr>
        <i/>
        <sz val="11"/>
        <color theme="1"/>
        <rFont val="Calibri"/>
        <family val="2"/>
        <scheme val="minor"/>
      </rPr>
      <t>base for the playable area</t>
    </r>
    <r>
      <rPr>
        <sz val="11"/>
        <color theme="1"/>
        <rFont val="Calibri"/>
        <family val="2"/>
        <scheme val="minor"/>
      </rPr>
      <t>, where:</t>
    </r>
  </si>
  <si>
    <t>• The terrain is surrounded by a cleanly fitting ocean or features a lake of some sort</t>
  </si>
  <si>
    <t>• The terrain includes a fair amount of logically placed 'Trees', 'Detail Meshes' and 'Grass Textures'</t>
  </si>
  <si>
    <t>• Different terrain layers, vegetation and shapes of different sizes are used in such a way that there is little visible repetition providing a varied and contrasting landscape.</t>
  </si>
  <si>
    <t>• There are different bodies of water, configured to match their types (e.g. foaming sea, still lake)</t>
  </si>
  <si>
    <t xml:space="preserve">• Advanced terrain features are used, for example, but not limited to:
  • features from the Terrain Tools package (e.g. ramps, mountain brushes, etc)
  • trees, grass &amp; bushes swaying in the wind
  • holes and caves
  • more complicated water types such as waterfalls or rivers </t>
  </si>
  <si>
    <t>• The project contains simple forms of interactions to achieve the game's goal using existing scripts 
(e.g. collect these 5 objects and you win)</t>
  </si>
  <si>
    <t>• Player controller uses optimized or additional controls (left/right handed running, rolling, etc)</t>
  </si>
  <si>
    <t>• Advanced animation features have been used, for example but not limited to: 
blend trees, including additional player animations, …</t>
  </si>
  <si>
    <t>• Properly uses anchors &amp; canvas scaling for the HUD and in-game menus to make them resolution-independent.</t>
  </si>
  <si>
    <t xml:space="preserve">• Includes a Unity Canvas which displays relevant feedback on player progression towards the end goal </t>
  </si>
  <si>
    <t>• At least 3 different terrain layers have been used to indicate different terrain areas 
(e.g. paths, rocky areas, grassy zones).</t>
  </si>
  <si>
    <t xml:space="preserve">• UI is cleanly styled using custom fonts, spacing &amp; colors and consistent with the look and feel of the game
</t>
  </si>
  <si>
    <t>• The project manages audio feedback correctly where it applies to avoid jarring glitches, clipping, cacaphonies of sound, etc. (Think preventing tons of bouncing prefabs all making a "boing" sound at the same time)</t>
  </si>
  <si>
    <t>• An additional light type has been used in sensible ways were applicable (e.g. point lights for bulbs)</t>
  </si>
  <si>
    <t>• Lighting has been optimized without losing visual quality 
(e.g. light baking, light layers, cookies instead of realtime shadows, ...)</t>
  </si>
  <si>
    <t>INDIVIDUAL PROJECT 1</t>
  </si>
  <si>
    <t>INDIVIDUAL PROJECT 2</t>
  </si>
  <si>
    <t>FINAL PROJECT</t>
  </si>
  <si>
    <r>
      <t xml:space="preserve">At least </t>
    </r>
    <r>
      <rPr>
        <i/>
        <sz val="11"/>
        <color theme="1"/>
        <rFont val="Calibri"/>
        <family val="2"/>
        <scheme val="minor"/>
      </rPr>
      <t>half</t>
    </r>
    <r>
      <rPr>
        <sz val="11"/>
        <color theme="1"/>
        <rFont val="Calibri"/>
        <family val="2"/>
        <scheme val="minor"/>
      </rPr>
      <t xml:space="preserve"> of the excellent critera </t>
    </r>
    <r>
      <rPr>
        <i/>
        <sz val="11"/>
        <color theme="1"/>
        <rFont val="Calibri"/>
        <family val="2"/>
        <scheme val="minor"/>
      </rPr>
      <t xml:space="preserve">rounded up </t>
    </r>
    <r>
      <rPr>
        <sz val="11"/>
        <color theme="1"/>
        <rFont val="Calibri"/>
        <family val="2"/>
        <scheme val="minor"/>
      </rPr>
      <t>are met.</t>
    </r>
  </si>
  <si>
    <t>At least half of the excellent critera rounded up are met.</t>
  </si>
  <si>
    <t>/</t>
  </si>
  <si>
    <t>Total points for this section:</t>
  </si>
  <si>
    <t>=</t>
  </si>
  <si>
    <t>Preconditions - check the boxes! (Install offline Microsoft Excel from office.saxion.nl if you don't see checkboxes)</t>
  </si>
  <si>
    <t>• what you scored yourself on each criterium and why
(support this by showing the applicable elements in your game or unity editor)</t>
  </si>
  <si>
    <t>S</t>
  </si>
  <si>
    <t>I</t>
  </si>
  <si>
    <t>G</t>
  </si>
  <si>
    <t>E</t>
  </si>
  <si>
    <r>
      <t xml:space="preserve">SELF ASSESSMENT TEMPLATE - </t>
    </r>
    <r>
      <rPr>
        <sz val="24"/>
        <color theme="1"/>
        <rFont val="Calibri"/>
        <family val="2"/>
        <scheme val="minor"/>
      </rPr>
      <t xml:space="preserve">HIGHLIGHT IN GREEN WHAT APPLIES, </t>
    </r>
    <r>
      <rPr>
        <b/>
        <sz val="24"/>
        <color theme="1"/>
        <rFont val="Calibri"/>
        <family val="2"/>
        <scheme val="minor"/>
      </rPr>
      <t>THEN</t>
    </r>
    <r>
      <rPr>
        <sz val="24"/>
        <color theme="1"/>
        <rFont val="Calibri"/>
        <family val="2"/>
        <scheme val="minor"/>
      </rPr>
      <t xml:space="preserve"> SELECT </t>
    </r>
    <r>
      <rPr>
        <b/>
        <sz val="24"/>
        <color theme="1"/>
        <rFont val="Calibri"/>
        <family val="2"/>
        <scheme val="minor"/>
      </rPr>
      <t>I</t>
    </r>
    <r>
      <rPr>
        <sz val="24"/>
        <color theme="1"/>
        <rFont val="Calibri"/>
        <family val="2"/>
        <scheme val="minor"/>
      </rPr>
      <t xml:space="preserve">, </t>
    </r>
    <r>
      <rPr>
        <b/>
        <sz val="24"/>
        <color theme="1"/>
        <rFont val="Calibri"/>
        <family val="2"/>
        <scheme val="minor"/>
      </rPr>
      <t>S</t>
    </r>
    <r>
      <rPr>
        <sz val="24"/>
        <color theme="1"/>
        <rFont val="Calibri"/>
        <family val="2"/>
        <scheme val="minor"/>
      </rPr>
      <t xml:space="preserve">, </t>
    </r>
    <r>
      <rPr>
        <b/>
        <sz val="24"/>
        <color theme="1"/>
        <rFont val="Calibri"/>
        <family val="2"/>
        <scheme val="minor"/>
      </rPr>
      <t>G</t>
    </r>
    <r>
      <rPr>
        <sz val="24"/>
        <color theme="1"/>
        <rFont val="Calibri"/>
        <family val="2"/>
        <scheme val="minor"/>
      </rPr>
      <t xml:space="preserve"> OR </t>
    </r>
    <r>
      <rPr>
        <b/>
        <sz val="24"/>
        <color theme="1"/>
        <rFont val="Calibri"/>
        <family val="2"/>
        <scheme val="minor"/>
      </rPr>
      <t>E</t>
    </r>
    <r>
      <rPr>
        <sz val="24"/>
        <color theme="1"/>
        <rFont val="Calibri"/>
        <family val="2"/>
        <scheme val="minor"/>
      </rPr>
      <t xml:space="preserve"> IN THE DROPDOWN ON THE </t>
    </r>
    <r>
      <rPr>
        <b/>
        <sz val="24"/>
        <color theme="1"/>
        <rFont val="Calibri"/>
        <family val="2"/>
        <scheme val="minor"/>
      </rPr>
      <t>RIGHT</t>
    </r>
  </si>
  <si>
    <t>YES</t>
  </si>
  <si>
    <t>HAND IN COMPLETE (SEE TAB 1)? &gt; 1 POINT</t>
  </si>
  <si>
    <r>
      <t xml:space="preserve">• A video in .mp4 format (max 15 minutes long), </t>
    </r>
    <r>
      <rPr>
        <i/>
        <sz val="11"/>
        <color theme="1"/>
        <rFont val="Calibri"/>
        <family val="2"/>
        <scheme val="minor"/>
      </rPr>
      <t xml:space="preserve">submitted using </t>
    </r>
    <r>
      <rPr>
        <b/>
        <i/>
        <sz val="11"/>
        <color theme="1"/>
        <rFont val="Calibri"/>
        <family val="2"/>
        <scheme val="minor"/>
      </rPr>
      <t>Kaltura</t>
    </r>
    <r>
      <rPr>
        <sz val="11"/>
        <color theme="1"/>
        <rFont val="Calibri"/>
        <family val="2"/>
        <scheme val="minor"/>
      </rPr>
      <t xml:space="preserve"> showing </t>
    </r>
    <r>
      <rPr>
        <i/>
        <sz val="11"/>
        <color theme="1"/>
        <rFont val="Calibri"/>
        <family val="2"/>
        <scheme val="minor"/>
      </rPr>
      <t>in order</t>
    </r>
    <r>
      <rPr>
        <sz val="11"/>
        <color theme="1"/>
        <rFont val="Calibri"/>
        <family val="2"/>
        <scheme val="minor"/>
      </rPr>
      <t>:</t>
    </r>
  </si>
  <si>
    <t>Items still insufficient:</t>
  </si>
  <si>
    <t>NO</t>
  </si>
  <si>
    <t>TOTAL GRADE (ONLY VALID IF GREEN):</t>
  </si>
  <si>
    <t>EXAMPLE SELF ASSESSMENT TEMPLATE WITH EXPLANATION</t>
  </si>
  <si>
    <t>Only the sufficient criteria are met</t>
  </si>
  <si>
    <r>
      <t xml:space="preserve">An excellent criterium has been met, but not the sufficient nor the good, so this still counts as </t>
    </r>
    <r>
      <rPr>
        <i/>
        <sz val="11"/>
        <color theme="1"/>
        <rFont val="Calibri"/>
        <family val="2"/>
        <scheme val="minor"/>
      </rPr>
      <t>Insufficient</t>
    </r>
  </si>
  <si>
    <r>
      <t xml:space="preserve">ALL Excellent criteria have been met, but none of the Sufficient, so this is still </t>
    </r>
    <r>
      <rPr>
        <i/>
        <sz val="11"/>
        <color theme="1"/>
        <rFont val="Calibri"/>
        <family val="2"/>
        <scheme val="minor"/>
      </rPr>
      <t>Insufficient</t>
    </r>
  </si>
  <si>
    <t>Insufficient, since apparently no criteria are met</t>
  </si>
  <si>
    <r>
      <t xml:space="preserve">At least 2 excellent criteria have been met </t>
    </r>
    <r>
      <rPr>
        <b/>
        <sz val="11"/>
        <color theme="1"/>
        <rFont val="Calibri"/>
        <family val="2"/>
        <scheme val="minor"/>
      </rPr>
      <t>plus</t>
    </r>
    <r>
      <rPr>
        <sz val="11"/>
        <color theme="1"/>
        <rFont val="Calibri"/>
        <family val="2"/>
        <scheme val="minor"/>
      </rPr>
      <t xml:space="preserve"> all sufficient criteria, so this is </t>
    </r>
    <r>
      <rPr>
        <i/>
        <sz val="11"/>
        <color theme="1"/>
        <rFont val="Calibri"/>
        <family val="2"/>
        <scheme val="minor"/>
      </rPr>
      <t>Good</t>
    </r>
  </si>
  <si>
    <r>
      <t xml:space="preserve">All criteria met, </t>
    </r>
    <r>
      <rPr>
        <i/>
        <sz val="11"/>
        <color theme="1"/>
        <rFont val="Calibri"/>
        <family val="2"/>
        <scheme val="minor"/>
      </rPr>
      <t>Excellent</t>
    </r>
    <r>
      <rPr>
        <sz val="11"/>
        <color theme="1"/>
        <rFont val="Calibri"/>
        <family val="2"/>
        <scheme val="minor"/>
      </rPr>
      <t>!</t>
    </r>
  </si>
  <si>
    <t>No criteria met :(</t>
  </si>
  <si>
    <t>All sufficient criteria have been met, but less than half of the excellent (rounded up), so this is still not more than Sufficient</t>
  </si>
  <si>
    <t>Half of 3 rounded up is 2, so Sufficient, but not Good just yet.</t>
  </si>
  <si>
    <t>Excellent ! :)</t>
  </si>
  <si>
    <t>YES or NO!</t>
  </si>
  <si>
    <t>Final verdict: even though the grade is a 6, all criteria need to be at least sufficient, which they are not, so the grade doesn't count. Of course, you won't make that error, right? RIGHT! :)</t>
  </si>
  <si>
    <t>1. Project structure</t>
  </si>
  <si>
    <t>2. Scene Structure</t>
  </si>
  <si>
    <t>3. Prefabs</t>
  </si>
  <si>
    <t>4. Assets</t>
  </si>
  <si>
    <t>5. Terrain</t>
  </si>
  <si>
    <t>6. Colliders</t>
  </si>
  <si>
    <t>7. Interactivity</t>
  </si>
  <si>
    <t>8. Animation</t>
  </si>
  <si>
    <t>9. UI &amp; HUD</t>
  </si>
  <si>
    <t>10. Particles</t>
  </si>
  <si>
    <t>11. Audio</t>
  </si>
  <si>
    <t>12. Lighting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</si>
</sst>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i/>
      <sz val="11"/>
      <color theme="1"/>
      <name val="Calibri"/>
      <family val="2"/>
      <scheme val="minor"/>
    </font>
    <font>
      <b/>
      <sz val="14"/>
      <color theme="1"/>
      <name val="Calibri"/>
      <family val="2"/>
      <scheme val="minor"/>
    </font>
    <font>
      <b/>
      <sz val="20"/>
      <color theme="1"/>
      <name val="Calibri"/>
      <family val="2"/>
      <scheme val="minor"/>
    </font>
    <font>
      <b/>
      <sz val="24"/>
      <color theme="1"/>
      <name val="Calibri"/>
      <family val="2"/>
      <scheme val="minor"/>
    </font>
    <font>
      <b/>
      <sz val="16"/>
      <color theme="1"/>
      <name val="Calibri"/>
      <family val="2"/>
      <scheme val="minor"/>
    </font>
    <font>
      <b/>
      <i/>
      <sz val="11"/>
      <color theme="1"/>
      <name val="Calibri"/>
      <family val="2"/>
      <scheme val="minor"/>
    </font>
    <font>
      <sz val="24"/>
      <color theme="1"/>
      <name val="Calibri"/>
      <family val="2"/>
      <scheme val="minor"/>
    </font>
    <font>
      <b/>
      <sz val="12"/>
      <color theme="1"/>
      <name val="Calibri"/>
      <family val="2"/>
      <scheme val="minor"/>
    </font>
  </fonts>
  <fills count="1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1"/>
        <bgColor indexed="64"/>
      </patternFill>
    </fill>
    <fill>
      <patternFill patternType="solid">
        <fgColor theme="9" tint="0.7999816888943144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214">
    <xf numFmtId="0" fontId="0" fillId="0" borderId="0" xfId="0"/>
    <xf numFmtId="0" fontId="0" fillId="0" borderId="0" xfId="0" applyAlignment="1">
      <alignment vertical="top"/>
    </xf>
    <xf numFmtId="0" fontId="0" fillId="0" borderId="0" xfId="0" applyAlignment="1">
      <alignment horizontal="left" vertical="center" indent="1"/>
    </xf>
    <xf numFmtId="0" fontId="0" fillId="0" borderId="29"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5" xfId="0" applyBorder="1" applyAlignment="1" applyProtection="1">
      <alignment horizontal="left" vertical="top" wrapText="1"/>
      <protection locked="0"/>
    </xf>
    <xf numFmtId="0" fontId="0" fillId="0" borderId="13" xfId="0" applyBorder="1" applyAlignment="1" applyProtection="1">
      <alignment horizontal="left" vertical="top" wrapText="1"/>
      <protection locked="0"/>
    </xf>
    <xf numFmtId="0" fontId="0" fillId="0" borderId="19"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17" xfId="0" applyBorder="1" applyAlignment="1" applyProtection="1">
      <alignment horizontal="left" vertical="top" wrapText="1"/>
      <protection locked="0"/>
    </xf>
    <xf numFmtId="0" fontId="0" fillId="0" borderId="4" xfId="0" applyBorder="1" applyAlignment="1" applyProtection="1">
      <alignment vertical="top" wrapText="1"/>
      <protection locked="0"/>
    </xf>
    <xf numFmtId="0" fontId="0" fillId="0" borderId="16" xfId="0" applyBorder="1" applyAlignment="1" applyProtection="1">
      <alignment vertical="top" wrapText="1"/>
      <protection locked="0"/>
    </xf>
    <xf numFmtId="0" fontId="0" fillId="0" borderId="1" xfId="0" applyBorder="1" applyAlignment="1" applyProtection="1">
      <alignment vertical="top" wrapText="1"/>
      <protection locked="0"/>
    </xf>
    <xf numFmtId="0" fontId="0" fillId="0" borderId="2" xfId="0" applyBorder="1" applyAlignment="1" applyProtection="1">
      <alignment vertical="top" wrapText="1"/>
      <protection locked="0"/>
    </xf>
    <xf numFmtId="0" fontId="1" fillId="0" borderId="0" xfId="0" applyFont="1" applyAlignment="1">
      <alignment vertical="top"/>
    </xf>
    <xf numFmtId="0" fontId="0" fillId="6" borderId="0" xfId="0" applyFill="1" applyAlignment="1">
      <alignment horizontal="left" vertical="top" wrapText="1"/>
    </xf>
    <xf numFmtId="0" fontId="0" fillId="0" borderId="0" xfId="0" applyAlignment="1">
      <alignment horizontal="left" vertical="top" indent="1"/>
    </xf>
    <xf numFmtId="0" fontId="0" fillId="0" borderId="0" xfId="0" applyAlignment="1">
      <alignment horizontal="left" vertical="center" wrapText="1" indent="1"/>
    </xf>
    <xf numFmtId="0" fontId="0" fillId="0" borderId="0" xfId="0" applyAlignment="1">
      <alignment horizontal="left" vertical="top"/>
    </xf>
    <xf numFmtId="0" fontId="0" fillId="0" borderId="0" xfId="0" applyProtection="1">
      <protection locked="0"/>
      <extLst>
        <ext xmlns:xfpb="http://schemas.microsoft.com/office/spreadsheetml/2022/featurepropertybag" uri="{C7286773-470A-42A8-94C5-96B5CB345126}">
          <xfpb:xfComplement i="0"/>
        </ext>
      </extLst>
    </xf>
    <xf numFmtId="0" fontId="0" fillId="0" borderId="0" xfId="0" applyAlignment="1">
      <alignment horizontal="center" vertical="center"/>
    </xf>
    <xf numFmtId="0" fontId="0" fillId="0" borderId="0" xfId="0" applyAlignment="1">
      <alignment horizontal="left" vertical="top" wrapText="1"/>
    </xf>
    <xf numFmtId="0" fontId="1" fillId="2" borderId="12" xfId="0" applyFont="1" applyFill="1" applyBorder="1" applyAlignment="1">
      <alignment horizontal="left" wrapText="1"/>
    </xf>
    <xf numFmtId="0" fontId="1" fillId="2" borderId="12" xfId="0" applyFont="1" applyFill="1" applyBorder="1" applyAlignment="1">
      <alignment horizontal="left" vertical="top" wrapText="1"/>
    </xf>
    <xf numFmtId="0" fontId="1" fillId="2" borderId="22" xfId="0" applyFont="1" applyFill="1" applyBorder="1" applyAlignment="1">
      <alignment horizontal="left" vertical="top" wrapText="1"/>
    </xf>
    <xf numFmtId="0" fontId="1" fillId="3" borderId="16" xfId="0" applyFont="1" applyFill="1" applyBorder="1" applyAlignment="1">
      <alignment horizontal="left" wrapText="1"/>
    </xf>
    <xf numFmtId="0" fontId="1" fillId="3" borderId="16" xfId="0" applyFont="1" applyFill="1" applyBorder="1" applyAlignment="1">
      <alignment horizontal="left" vertical="top" wrapText="1"/>
    </xf>
    <xf numFmtId="0" fontId="1" fillId="3" borderId="23" xfId="0" applyFont="1" applyFill="1" applyBorder="1" applyAlignment="1">
      <alignment horizontal="left" vertical="top" wrapText="1"/>
    </xf>
    <xf numFmtId="0" fontId="1" fillId="0" borderId="0" xfId="0" applyFont="1" applyAlignment="1">
      <alignment horizontal="left" wrapText="1"/>
    </xf>
    <xf numFmtId="0" fontId="1" fillId="0" borderId="0" xfId="0" applyFont="1" applyAlignment="1">
      <alignment horizontal="left" vertical="top" wrapText="1"/>
    </xf>
    <xf numFmtId="0" fontId="1" fillId="7" borderId="8"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1" fillId="2" borderId="2" xfId="0" applyFont="1" applyFill="1" applyBorder="1" applyAlignment="1">
      <alignment horizontal="left" wrapText="1"/>
    </xf>
    <xf numFmtId="0" fontId="1" fillId="2" borderId="2" xfId="0" applyFont="1" applyFill="1" applyBorder="1" applyAlignment="1">
      <alignment horizontal="left" vertical="top" wrapText="1"/>
    </xf>
    <xf numFmtId="0" fontId="1" fillId="3" borderId="3" xfId="0" applyFont="1" applyFill="1" applyBorder="1" applyAlignment="1">
      <alignment horizontal="left" wrapText="1"/>
    </xf>
    <xf numFmtId="0" fontId="1" fillId="3" borderId="3" xfId="0" applyFont="1" applyFill="1" applyBorder="1" applyAlignment="1">
      <alignment horizontal="left" vertical="top" wrapText="1"/>
    </xf>
    <xf numFmtId="0" fontId="6" fillId="0" borderId="28" xfId="0" applyFont="1" applyBorder="1" applyAlignment="1">
      <alignment horizontal="center" vertical="center" wrapText="1"/>
    </xf>
    <xf numFmtId="0" fontId="1" fillId="12" borderId="8" xfId="0" applyFont="1" applyFill="1" applyBorder="1" applyAlignment="1">
      <alignment horizontal="left" wrapText="1"/>
    </xf>
    <xf numFmtId="0" fontId="1" fillId="12" borderId="8" xfId="0" applyFont="1" applyFill="1" applyBorder="1" applyAlignment="1">
      <alignment horizontal="left" vertical="top" wrapText="1"/>
    </xf>
    <xf numFmtId="0" fontId="1" fillId="12" borderId="9" xfId="0" applyFont="1" applyFill="1" applyBorder="1" applyAlignment="1">
      <alignment horizontal="left" vertical="top" wrapText="1"/>
    </xf>
    <xf numFmtId="0" fontId="0" fillId="0" borderId="0" xfId="0" applyAlignment="1">
      <alignment horizontal="right" vertical="top" wrapText="1"/>
    </xf>
    <xf numFmtId="49" fontId="0" fillId="0" borderId="0" xfId="0" applyNumberFormat="1"/>
    <xf numFmtId="0" fontId="0" fillId="0" borderId="12" xfId="0" applyBorder="1" applyAlignment="1" applyProtection="1">
      <alignment horizontal="left" vertical="top" wrapText="1"/>
      <protection locked="0"/>
    </xf>
    <xf numFmtId="0" fontId="0" fillId="0" borderId="30" xfId="0" applyBorder="1" applyAlignment="1" applyProtection="1">
      <alignment horizontal="left" vertical="top" wrapText="1"/>
      <protection locked="0"/>
    </xf>
    <xf numFmtId="0" fontId="0" fillId="0" borderId="31"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6" xfId="0" applyBorder="1" applyAlignment="1" applyProtection="1">
      <alignment vertical="top" wrapText="1"/>
      <protection locked="0"/>
    </xf>
    <xf numFmtId="0" fontId="0" fillId="0" borderId="29"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6" xfId="0" applyBorder="1" applyAlignment="1">
      <alignment horizontal="left" vertical="top" wrapText="1"/>
    </xf>
    <xf numFmtId="0" fontId="0" fillId="0" borderId="20" xfId="0" applyBorder="1" applyAlignment="1">
      <alignment horizontal="left" vertical="top" wrapText="1"/>
    </xf>
    <xf numFmtId="0" fontId="0" fillId="11" borderId="12" xfId="0" applyFill="1" applyBorder="1" applyAlignment="1">
      <alignment horizontal="left" vertical="top" wrapText="1"/>
    </xf>
    <xf numFmtId="0" fontId="0" fillId="11" borderId="11" xfId="0" applyFill="1" applyBorder="1" applyAlignment="1">
      <alignment horizontal="left" vertical="top" wrapText="1"/>
    </xf>
    <xf numFmtId="0" fontId="0" fillId="11" borderId="1" xfId="0" applyFill="1" applyBorder="1" applyAlignment="1">
      <alignment horizontal="left" vertical="top" wrapText="1"/>
    </xf>
    <xf numFmtId="0" fontId="0" fillId="11" borderId="15" xfId="0" applyFill="1" applyBorder="1" applyAlignment="1">
      <alignment horizontal="left" vertical="top" wrapText="1"/>
    </xf>
    <xf numFmtId="0" fontId="0" fillId="0" borderId="3" xfId="0" applyBorder="1" applyAlignment="1">
      <alignment horizontal="left" vertical="top" wrapText="1"/>
    </xf>
    <xf numFmtId="0" fontId="0" fillId="11" borderId="31" xfId="0" applyFill="1" applyBorder="1" applyAlignment="1">
      <alignment horizontal="left" vertical="top" wrapText="1"/>
    </xf>
    <xf numFmtId="0" fontId="0" fillId="0" borderId="1" xfId="0" applyBorder="1" applyAlignment="1">
      <alignment horizontal="left" vertical="top" wrapText="1"/>
    </xf>
    <xf numFmtId="0" fontId="0" fillId="0" borderId="6" xfId="0" applyBorder="1" applyAlignment="1">
      <alignment vertical="top" wrapText="1"/>
    </xf>
    <xf numFmtId="0" fontId="0" fillId="0" borderId="2" xfId="0" applyBorder="1" applyAlignment="1">
      <alignment horizontal="left" vertical="top" wrapText="1"/>
    </xf>
    <xf numFmtId="0" fontId="0" fillId="0" borderId="11" xfId="0" applyBorder="1" applyAlignment="1">
      <alignment horizontal="left" vertical="top" wrapText="1"/>
    </xf>
    <xf numFmtId="0" fontId="0" fillId="0" borderId="15" xfId="0" applyBorder="1" applyAlignment="1">
      <alignment horizontal="left" vertical="top" wrapText="1"/>
    </xf>
    <xf numFmtId="0" fontId="0" fillId="11" borderId="13" xfId="0" applyFill="1" applyBorder="1" applyAlignment="1">
      <alignment horizontal="left" vertical="top" wrapText="1"/>
    </xf>
    <xf numFmtId="0" fontId="0" fillId="0" borderId="19" xfId="0" applyBorder="1" applyAlignment="1">
      <alignment horizontal="left" vertical="top" wrapText="1"/>
    </xf>
    <xf numFmtId="0" fontId="0" fillId="11" borderId="19" xfId="0" applyFill="1" applyBorder="1" applyAlignment="1">
      <alignment horizontal="left" vertical="top" wrapText="1"/>
    </xf>
    <xf numFmtId="0" fontId="0" fillId="0" borderId="16" xfId="0" applyBorder="1" applyAlignment="1">
      <alignment horizontal="left" vertical="top" wrapText="1"/>
    </xf>
    <xf numFmtId="0" fontId="0" fillId="11" borderId="17" xfId="0" applyFill="1" applyBorder="1" applyAlignment="1">
      <alignment horizontal="left" vertical="top" wrapText="1"/>
    </xf>
    <xf numFmtId="0" fontId="0" fillId="11" borderId="2" xfId="0" applyFill="1" applyBorder="1" applyAlignment="1">
      <alignment horizontal="left" vertical="top" wrapText="1"/>
    </xf>
    <xf numFmtId="0" fontId="0" fillId="11" borderId="1" xfId="0" applyFill="1" applyBorder="1" applyAlignment="1">
      <alignment vertical="top" wrapText="1"/>
    </xf>
    <xf numFmtId="0" fontId="0" fillId="11" borderId="2" xfId="0" applyFill="1" applyBorder="1" applyAlignment="1">
      <alignment vertical="top" wrapText="1"/>
    </xf>
    <xf numFmtId="0" fontId="0" fillId="11" borderId="16" xfId="0" applyFill="1" applyBorder="1" applyAlignment="1">
      <alignment vertical="top" wrapText="1"/>
    </xf>
    <xf numFmtId="0" fontId="0" fillId="0" borderId="17" xfId="0" applyBorder="1" applyAlignment="1">
      <alignment horizontal="left" vertical="top" wrapText="1"/>
    </xf>
    <xf numFmtId="0" fontId="0" fillId="11" borderId="4" xfId="0" applyFill="1" applyBorder="1" applyAlignment="1">
      <alignment vertical="top" wrapText="1"/>
    </xf>
    <xf numFmtId="0" fontId="3" fillId="0" borderId="0" xfId="0" applyFont="1" applyAlignment="1">
      <alignment horizontal="left" vertical="center" wrapText="1" indent="1"/>
    </xf>
    <xf numFmtId="0" fontId="1" fillId="7" borderId="7" xfId="0" applyFont="1" applyFill="1" applyBorder="1" applyAlignment="1">
      <alignment horizontal="left" vertical="center" wrapText="1" indent="1"/>
    </xf>
    <xf numFmtId="0" fontId="3" fillId="12" borderId="7" xfId="0" applyFont="1" applyFill="1" applyBorder="1" applyAlignment="1">
      <alignment horizontal="left" vertical="center" wrapText="1" indent="1"/>
    </xf>
    <xf numFmtId="49" fontId="6" fillId="0" borderId="34" xfId="0" quotePrefix="1" applyNumberFormat="1" applyFont="1" applyBorder="1" applyAlignment="1">
      <alignment horizontal="center" vertical="center"/>
    </xf>
    <xf numFmtId="49" fontId="6" fillId="0" borderId="35" xfId="0" applyNumberFormat="1" applyFont="1" applyBorder="1" applyAlignment="1">
      <alignment horizontal="center" vertical="center"/>
    </xf>
    <xf numFmtId="1" fontId="6" fillId="0" borderId="34" xfId="0" quotePrefix="1" applyNumberFormat="1" applyFont="1" applyBorder="1" applyAlignment="1">
      <alignment horizontal="center" vertical="center"/>
    </xf>
    <xf numFmtId="1" fontId="6" fillId="0" borderId="35" xfId="0" applyNumberFormat="1" applyFont="1" applyBorder="1" applyAlignment="1">
      <alignment horizontal="center" vertical="center"/>
    </xf>
    <xf numFmtId="0" fontId="6" fillId="13" borderId="34" xfId="0" applyFont="1" applyFill="1" applyBorder="1" applyAlignment="1" applyProtection="1">
      <alignment horizontal="center" vertical="center"/>
      <protection locked="0"/>
    </xf>
    <xf numFmtId="0" fontId="6" fillId="13" borderId="36" xfId="0" applyFont="1" applyFill="1" applyBorder="1" applyAlignment="1" applyProtection="1">
      <alignment horizontal="center" vertical="center"/>
      <protection locked="0"/>
    </xf>
    <xf numFmtId="0" fontId="6" fillId="13" borderId="35" xfId="0" applyFont="1" applyFill="1" applyBorder="1" applyAlignment="1" applyProtection="1">
      <alignment horizontal="center" vertical="center"/>
      <protection locked="0"/>
    </xf>
    <xf numFmtId="49" fontId="6" fillId="13" borderId="34" xfId="0" quotePrefix="1" applyNumberFormat="1" applyFont="1" applyFill="1" applyBorder="1" applyAlignment="1">
      <alignment horizontal="center" vertical="center"/>
    </xf>
    <xf numFmtId="49" fontId="6" fillId="13" borderId="35" xfId="0" applyNumberFormat="1" applyFont="1" applyFill="1" applyBorder="1" applyAlignment="1">
      <alignment horizontal="center" vertical="center"/>
    </xf>
    <xf numFmtId="0" fontId="6" fillId="0" borderId="37" xfId="0" applyFont="1" applyBorder="1" applyAlignment="1">
      <alignment horizontal="center" vertical="center" wrapText="1"/>
    </xf>
    <xf numFmtId="0" fontId="6" fillId="0" borderId="38" xfId="0" applyFont="1" applyBorder="1" applyAlignment="1">
      <alignment horizontal="center" vertical="center" wrapText="1"/>
    </xf>
    <xf numFmtId="0" fontId="6" fillId="10" borderId="34" xfId="0" applyFont="1" applyFill="1" applyBorder="1" applyAlignment="1">
      <alignment horizontal="center" vertical="center" wrapText="1"/>
    </xf>
    <xf numFmtId="0" fontId="6" fillId="10" borderId="35" xfId="0" applyFont="1" applyFill="1" applyBorder="1" applyAlignment="1">
      <alignment horizontal="center" vertical="center" wrapText="1"/>
    </xf>
    <xf numFmtId="2" fontId="6" fillId="0" borderId="34" xfId="0" quotePrefix="1" applyNumberFormat="1" applyFont="1" applyBorder="1" applyAlignment="1">
      <alignment horizontal="center" vertical="center"/>
    </xf>
    <xf numFmtId="2" fontId="6" fillId="0" borderId="35" xfId="0" applyNumberFormat="1" applyFont="1" applyBorder="1" applyAlignment="1">
      <alignment horizontal="center" vertical="center"/>
    </xf>
    <xf numFmtId="0" fontId="4" fillId="8" borderId="7"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4" fillId="8" borderId="9" xfId="0" applyFont="1" applyFill="1" applyBorder="1" applyAlignment="1">
      <alignment horizontal="center" vertical="center" wrapText="1"/>
    </xf>
    <xf numFmtId="0" fontId="0" fillId="6" borderId="11" xfId="0" applyFill="1" applyBorder="1" applyAlignment="1" applyProtection="1">
      <alignment horizontal="center" vertical="center" wrapText="1"/>
      <protection locked="0"/>
    </xf>
    <xf numFmtId="0" fontId="0" fillId="6" borderId="1" xfId="0" applyFill="1" applyBorder="1" applyAlignment="1" applyProtection="1">
      <alignment horizontal="center" vertical="center" wrapText="1"/>
      <protection locked="0"/>
    </xf>
    <xf numFmtId="0" fontId="0" fillId="6" borderId="15" xfId="0" applyFill="1"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9" fillId="8" borderId="10" xfId="0" applyFont="1" applyFill="1" applyBorder="1" applyAlignment="1">
      <alignment horizontal="left" vertical="center" wrapText="1" indent="1"/>
    </xf>
    <xf numFmtId="0" fontId="9" fillId="8" borderId="18" xfId="0" applyFont="1" applyFill="1" applyBorder="1" applyAlignment="1">
      <alignment horizontal="left" vertical="center" wrapText="1" indent="1"/>
    </xf>
    <xf numFmtId="0" fontId="9" fillId="8" borderId="14" xfId="0" applyFont="1" applyFill="1" applyBorder="1" applyAlignment="1">
      <alignment horizontal="left" vertical="center" wrapText="1" indent="1"/>
    </xf>
    <xf numFmtId="0" fontId="9" fillId="5" borderId="10" xfId="0" applyFont="1" applyFill="1" applyBorder="1" applyAlignment="1">
      <alignment horizontal="left" vertical="center" wrapText="1" indent="1"/>
    </xf>
    <xf numFmtId="0" fontId="9" fillId="5" borderId="18" xfId="0" applyFont="1" applyFill="1" applyBorder="1" applyAlignment="1">
      <alignment horizontal="left" vertical="center" wrapText="1" indent="1"/>
    </xf>
    <xf numFmtId="0" fontId="9" fillId="5" borderId="14" xfId="0" applyFont="1" applyFill="1" applyBorder="1" applyAlignment="1">
      <alignment horizontal="left" vertical="center" wrapText="1" indent="1"/>
    </xf>
    <xf numFmtId="0" fontId="0" fillId="0" borderId="6" xfId="0" applyBorder="1" applyAlignment="1" applyProtection="1">
      <alignment horizontal="left" vertical="top" wrapText="1"/>
      <protection locked="0"/>
    </xf>
    <xf numFmtId="0" fontId="0" fillId="0" borderId="30" xfId="0" applyBorder="1" applyAlignment="1" applyProtection="1">
      <alignment horizontal="left" vertical="top" wrapText="1"/>
      <protection locked="0"/>
    </xf>
    <xf numFmtId="0" fontId="0" fillId="0" borderId="24" xfId="0" applyBorder="1" applyAlignment="1" applyProtection="1">
      <alignment horizontal="left" vertical="top" wrapText="1"/>
      <protection locked="0"/>
    </xf>
    <xf numFmtId="0" fontId="0" fillId="0" borderId="23" xfId="0" applyBorder="1" applyAlignment="1" applyProtection="1">
      <alignment horizontal="left" vertical="top" wrapText="1"/>
      <protection locked="0"/>
    </xf>
    <xf numFmtId="0" fontId="9" fillId="9" borderId="10" xfId="0" applyFont="1" applyFill="1" applyBorder="1" applyAlignment="1">
      <alignment horizontal="left" vertical="center" wrapText="1" indent="1"/>
    </xf>
    <xf numFmtId="0" fontId="9" fillId="9" borderId="18" xfId="0" applyFont="1" applyFill="1" applyBorder="1" applyAlignment="1">
      <alignment horizontal="left" vertical="center" wrapText="1" indent="1"/>
    </xf>
    <xf numFmtId="0" fontId="9" fillId="9" borderId="14" xfId="0" applyFont="1" applyFill="1" applyBorder="1" applyAlignment="1">
      <alignment horizontal="left" vertical="center" wrapText="1" indent="1"/>
    </xf>
    <xf numFmtId="0" fontId="0" fillId="6" borderId="6" xfId="0" applyFill="1" applyBorder="1" applyAlignment="1" applyProtection="1">
      <alignment horizontal="center" vertical="center" wrapText="1"/>
      <protection locked="0"/>
    </xf>
    <xf numFmtId="0" fontId="0" fillId="6" borderId="20" xfId="0" applyFill="1"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21" xfId="0" applyBorder="1" applyAlignment="1" applyProtection="1">
      <alignment horizontal="center" vertical="center" wrapText="1"/>
      <protection locked="0"/>
    </xf>
    <xf numFmtId="0" fontId="4" fillId="9" borderId="7" xfId="0" applyFont="1" applyFill="1" applyBorder="1" applyAlignment="1">
      <alignment horizontal="center" vertical="center" wrapText="1"/>
    </xf>
    <xf numFmtId="0" fontId="4" fillId="9" borderId="8" xfId="0" applyFont="1" applyFill="1" applyBorder="1" applyAlignment="1">
      <alignment horizontal="center" vertical="center" wrapText="1"/>
    </xf>
    <xf numFmtId="0" fontId="4" fillId="9" borderId="9" xfId="0" applyFont="1" applyFill="1" applyBorder="1" applyAlignment="1">
      <alignment horizontal="center" vertical="center" wrapText="1"/>
    </xf>
    <xf numFmtId="0" fontId="3" fillId="4" borderId="1" xfId="0" applyFont="1" applyFill="1" applyBorder="1" applyAlignment="1">
      <alignment horizontal="left" vertical="center" wrapText="1" indent="1"/>
    </xf>
    <xf numFmtId="0" fontId="1" fillId="0" borderId="11" xfId="0" quotePrefix="1" applyFont="1" applyBorder="1" applyAlignment="1" applyProtection="1">
      <alignment horizontal="center" vertical="center" wrapText="1"/>
      <protection locked="0"/>
    </xf>
    <xf numFmtId="0" fontId="1" fillId="0" borderId="1" xfId="0" quotePrefix="1" applyFont="1" applyBorder="1" applyAlignment="1" applyProtection="1">
      <alignment horizontal="center" vertical="center" wrapText="1"/>
      <protection locked="0"/>
    </xf>
    <xf numFmtId="0" fontId="1" fillId="0" borderId="15" xfId="0" applyFont="1" applyBorder="1" applyAlignment="1" applyProtection="1">
      <alignment horizontal="center" vertical="center" wrapText="1"/>
      <protection locked="0"/>
    </xf>
    <xf numFmtId="0" fontId="0" fillId="0" borderId="12" xfId="0" applyBorder="1" applyAlignment="1" applyProtection="1">
      <alignment horizontal="left" vertical="top" wrapText="1"/>
      <protection locked="0"/>
    </xf>
    <xf numFmtId="0" fontId="0" fillId="0" borderId="3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0" borderId="33" xfId="0" applyBorder="1" applyAlignment="1" applyProtection="1">
      <alignment horizontal="left" vertical="top" wrapText="1"/>
      <protection locked="0"/>
    </xf>
    <xf numFmtId="0" fontId="9" fillId="5" borderId="26" xfId="0" applyFont="1" applyFill="1" applyBorder="1" applyAlignment="1">
      <alignment horizontal="left" vertical="center" wrapText="1" indent="1"/>
    </xf>
    <xf numFmtId="0" fontId="9" fillId="5" borderId="25" xfId="0" applyFont="1" applyFill="1" applyBorder="1" applyAlignment="1">
      <alignment horizontal="left" vertical="center" wrapText="1" indent="1"/>
    </xf>
    <xf numFmtId="0" fontId="0" fillId="6" borderId="3" xfId="0" applyFill="1" applyBorder="1" applyAlignment="1" applyProtection="1">
      <alignment horizontal="center" vertical="center" wrapText="1"/>
      <protection locked="0"/>
    </xf>
    <xf numFmtId="0" fontId="0" fillId="6" borderId="2" xfId="0" applyFill="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3" fillId="4" borderId="10" xfId="0" applyFont="1" applyFill="1" applyBorder="1" applyAlignment="1">
      <alignment horizontal="left" vertical="center" wrapText="1" indent="1"/>
    </xf>
    <xf numFmtId="0" fontId="3" fillId="4" borderId="14" xfId="0" applyFont="1" applyFill="1" applyBorder="1" applyAlignment="1">
      <alignment horizontal="left" vertical="center" wrapText="1" indent="1"/>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4" fillId="5" borderId="7"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0" fillId="11" borderId="11" xfId="0" applyFill="1" applyBorder="1" applyAlignment="1">
      <alignment horizontal="center" vertical="center" wrapText="1"/>
    </xf>
    <xf numFmtId="0" fontId="0" fillId="11" borderId="2" xfId="0" applyFill="1" applyBorder="1" applyAlignment="1">
      <alignment horizontal="center" vertical="center" wrapText="1"/>
    </xf>
    <xf numFmtId="0" fontId="0" fillId="0" borderId="12" xfId="0" applyBorder="1" applyAlignment="1">
      <alignment horizontal="left" vertical="top" wrapText="1"/>
    </xf>
    <xf numFmtId="0" fontId="0" fillId="0" borderId="4" xfId="0" applyBorder="1" applyAlignment="1">
      <alignment horizontal="left" vertical="top" wrapText="1"/>
    </xf>
    <xf numFmtId="0" fontId="0" fillId="0" borderId="11" xfId="0" applyBorder="1" applyAlignment="1">
      <alignment horizontal="center" vertical="center" wrapText="1"/>
    </xf>
    <xf numFmtId="0" fontId="0" fillId="0" borderId="2" xfId="0" applyBorder="1" applyAlignment="1">
      <alignment horizontal="center" vertical="center" wrapText="1"/>
    </xf>
    <xf numFmtId="0" fontId="6" fillId="13" borderId="34" xfId="0" applyFont="1" applyFill="1" applyBorder="1" applyAlignment="1">
      <alignment horizontal="center" vertical="center"/>
    </xf>
    <xf numFmtId="0" fontId="6" fillId="13" borderId="35" xfId="0" applyFont="1" applyFill="1" applyBorder="1" applyAlignment="1">
      <alignment horizontal="center" vertical="center"/>
    </xf>
    <xf numFmtId="0" fontId="0" fillId="6" borderId="3" xfId="0" applyFill="1" applyBorder="1" applyAlignment="1">
      <alignment horizontal="center" vertical="center" wrapText="1"/>
    </xf>
    <xf numFmtId="0" fontId="0" fillId="6" borderId="6" xfId="0" applyFill="1" applyBorder="1" applyAlignment="1">
      <alignment horizontal="center" vertical="center" wrapText="1"/>
    </xf>
    <xf numFmtId="0" fontId="0" fillId="6" borderId="20" xfId="0" applyFill="1" applyBorder="1" applyAlignment="1">
      <alignment horizontal="center" vertical="center" wrapText="1"/>
    </xf>
    <xf numFmtId="0" fontId="0" fillId="11" borderId="4" xfId="0" applyFill="1" applyBorder="1" applyAlignment="1">
      <alignment horizontal="left" vertical="top" wrapText="1"/>
    </xf>
    <xf numFmtId="0" fontId="0" fillId="11" borderId="16" xfId="0" applyFill="1" applyBorder="1" applyAlignment="1">
      <alignment horizontal="left" vertical="top"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21" xfId="0" applyBorder="1" applyAlignment="1">
      <alignment horizontal="center" vertical="center" wrapText="1"/>
    </xf>
    <xf numFmtId="0" fontId="6" fillId="13" borderId="36" xfId="0" applyFont="1" applyFill="1" applyBorder="1" applyAlignment="1">
      <alignment horizontal="center" vertical="center"/>
    </xf>
    <xf numFmtId="0" fontId="0" fillId="6" borderId="11" xfId="0" applyFill="1" applyBorder="1" applyAlignment="1">
      <alignment horizontal="center" vertical="center" wrapText="1"/>
    </xf>
    <xf numFmtId="0" fontId="0" fillId="6" borderId="1" xfId="0" applyFill="1" applyBorder="1" applyAlignment="1">
      <alignment horizontal="center" vertical="center" wrapText="1"/>
    </xf>
    <xf numFmtId="0" fontId="0" fillId="6" borderId="15" xfId="0" applyFill="1" applyBorder="1" applyAlignment="1">
      <alignment horizontal="center" vertical="center" wrapText="1"/>
    </xf>
    <xf numFmtId="0" fontId="0" fillId="0" borderId="1" xfId="0" applyBorder="1" applyAlignment="1">
      <alignment horizontal="center" vertical="center" wrapText="1"/>
    </xf>
    <xf numFmtId="0" fontId="0" fillId="0" borderId="15" xfId="0" applyBorder="1" applyAlignment="1">
      <alignment horizontal="center" vertical="center" wrapText="1"/>
    </xf>
    <xf numFmtId="0" fontId="0" fillId="11" borderId="12" xfId="0" applyFill="1" applyBorder="1" applyAlignment="1">
      <alignment horizontal="left" vertical="top" wrapText="1"/>
    </xf>
    <xf numFmtId="0" fontId="0" fillId="11" borderId="1" xfId="0" applyFill="1" applyBorder="1" applyAlignment="1">
      <alignment horizontal="center" vertical="center" wrapText="1"/>
    </xf>
    <xf numFmtId="0" fontId="0" fillId="11" borderId="15" xfId="0" applyFill="1" applyBorder="1" applyAlignment="1">
      <alignment horizontal="center" vertical="center" wrapText="1"/>
    </xf>
    <xf numFmtId="0" fontId="1" fillId="11" borderId="11" xfId="0" quotePrefix="1" applyFont="1" applyFill="1" applyBorder="1" applyAlignment="1">
      <alignment horizontal="center" vertical="center" wrapText="1"/>
    </xf>
    <xf numFmtId="0" fontId="1" fillId="11" borderId="1" xfId="0" quotePrefix="1" applyFont="1" applyFill="1" applyBorder="1" applyAlignment="1">
      <alignment horizontal="center" vertical="center" wrapText="1"/>
    </xf>
    <xf numFmtId="0" fontId="1" fillId="11" borderId="15" xfId="0" applyFont="1" applyFill="1" applyBorder="1" applyAlignment="1">
      <alignment horizontal="center" vertical="center" wrapText="1"/>
    </xf>
    <xf numFmtId="0" fontId="0" fillId="11" borderId="32" xfId="0" applyFill="1" applyBorder="1" applyAlignment="1">
      <alignment horizontal="left" vertical="top" wrapText="1"/>
    </xf>
    <xf numFmtId="0" fontId="0" fillId="11" borderId="27" xfId="0" applyFill="1" applyBorder="1" applyAlignment="1">
      <alignment horizontal="left" vertical="top" wrapText="1"/>
    </xf>
    <xf numFmtId="0" fontId="0" fillId="11" borderId="33" xfId="0" applyFill="1" applyBorder="1" applyAlignment="1">
      <alignment horizontal="left" vertical="top" wrapText="1"/>
    </xf>
    <xf numFmtId="0" fontId="0" fillId="6" borderId="2" xfId="0" applyFill="1" applyBorder="1" applyAlignment="1">
      <alignment horizontal="center" vertical="center" wrapText="1"/>
    </xf>
    <xf numFmtId="0" fontId="0" fillId="0" borderId="6" xfId="0" applyBorder="1" applyAlignment="1">
      <alignment horizontal="left" vertical="top" wrapText="1"/>
    </xf>
    <xf numFmtId="0" fontId="0" fillId="0" borderId="30" xfId="0" applyBorder="1" applyAlignment="1">
      <alignment horizontal="left" vertical="top" wrapText="1"/>
    </xf>
    <xf numFmtId="0" fontId="0" fillId="0" borderId="24" xfId="0" applyBorder="1" applyAlignment="1">
      <alignment horizontal="left" vertical="top" wrapText="1"/>
    </xf>
    <xf numFmtId="0" fontId="0" fillId="0" borderId="23" xfId="0" applyBorder="1" applyAlignment="1">
      <alignment horizontal="left" vertical="top" wrapText="1"/>
    </xf>
    <xf numFmtId="0" fontId="0" fillId="11" borderId="21" xfId="0" applyFill="1" applyBorder="1" applyAlignment="1">
      <alignment horizontal="center" vertical="center" wrapText="1"/>
    </xf>
    <xf numFmtId="0" fontId="0" fillId="0" borderId="2" xfId="0" applyBorder="1" applyAlignment="1">
      <alignment horizontal="left" vertical="top" wrapText="1"/>
    </xf>
    <xf numFmtId="0" fontId="0" fillId="0" borderId="16" xfId="0" applyBorder="1" applyAlignment="1">
      <alignment horizontal="left" vertical="top" wrapText="1"/>
    </xf>
    <xf numFmtId="0" fontId="0" fillId="10" borderId="30" xfId="0" applyFill="1" applyBorder="1" applyAlignment="1">
      <alignment horizontal="center" vertical="center"/>
    </xf>
    <xf numFmtId="0" fontId="0" fillId="10" borderId="39" xfId="0" applyFill="1" applyBorder="1" applyAlignment="1">
      <alignment horizontal="center" vertical="center"/>
    </xf>
    <xf numFmtId="0" fontId="0" fillId="10" borderId="40" xfId="0" applyFill="1" applyBorder="1" applyAlignment="1">
      <alignment horizontal="center" vertical="center"/>
    </xf>
    <xf numFmtId="0" fontId="0" fillId="10" borderId="27" xfId="0" applyFill="1" applyBorder="1" applyAlignment="1">
      <alignment horizontal="center" vertical="center"/>
    </xf>
    <xf numFmtId="0" fontId="0" fillId="10" borderId="0" xfId="0" applyFill="1" applyAlignment="1">
      <alignment horizontal="center" vertical="center"/>
    </xf>
    <xf numFmtId="0" fontId="0" fillId="10" borderId="43" xfId="0" applyFill="1" applyBorder="1" applyAlignment="1">
      <alignment horizontal="center" vertical="center"/>
    </xf>
    <xf numFmtId="0" fontId="0" fillId="10" borderId="31" xfId="0" applyFill="1" applyBorder="1" applyAlignment="1">
      <alignment horizontal="center" vertical="center"/>
    </xf>
    <xf numFmtId="0" fontId="0" fillId="10" borderId="41" xfId="0" applyFill="1" applyBorder="1" applyAlignment="1">
      <alignment horizontal="center" vertical="center"/>
    </xf>
    <xf numFmtId="0" fontId="0" fillId="10" borderId="42" xfId="0" applyFill="1" applyBorder="1" applyAlignment="1">
      <alignment horizontal="center" vertical="center"/>
    </xf>
    <xf numFmtId="0" fontId="0" fillId="11" borderId="5" xfId="0" applyFill="1" applyBorder="1" applyAlignment="1">
      <alignment horizontal="center" vertical="center" wrapText="1"/>
    </xf>
    <xf numFmtId="0" fontId="0" fillId="10" borderId="30" xfId="0" applyFill="1" applyBorder="1" applyAlignment="1">
      <alignment horizontal="center" vertical="center" wrapText="1"/>
    </xf>
    <xf numFmtId="0" fontId="0" fillId="10" borderId="39" xfId="0" applyFill="1" applyBorder="1" applyAlignment="1">
      <alignment horizontal="center" vertical="center" wrapText="1"/>
    </xf>
    <xf numFmtId="0" fontId="0" fillId="10" borderId="40" xfId="0" applyFill="1" applyBorder="1" applyAlignment="1">
      <alignment horizontal="center" vertical="center" wrapText="1"/>
    </xf>
    <xf numFmtId="0" fontId="0" fillId="10" borderId="31" xfId="0" applyFill="1" applyBorder="1" applyAlignment="1">
      <alignment horizontal="center" vertical="center" wrapText="1"/>
    </xf>
    <xf numFmtId="0" fontId="0" fillId="10" borderId="41" xfId="0" applyFill="1" applyBorder="1" applyAlignment="1">
      <alignment horizontal="center" vertical="center" wrapText="1"/>
    </xf>
    <xf numFmtId="0" fontId="0" fillId="10" borderId="42" xfId="0" applyFill="1" applyBorder="1" applyAlignment="1">
      <alignment horizontal="center" vertical="center" wrapText="1"/>
    </xf>
    <xf numFmtId="0" fontId="0" fillId="10" borderId="27" xfId="0" applyFill="1" applyBorder="1" applyAlignment="1">
      <alignment horizontal="center" vertical="center" wrapText="1"/>
    </xf>
    <xf numFmtId="0" fontId="0" fillId="10" borderId="0" xfId="0" applyFill="1" applyAlignment="1">
      <alignment horizontal="center" vertical="center" wrapText="1"/>
    </xf>
    <xf numFmtId="0" fontId="0" fillId="10" borderId="43" xfId="0" applyFill="1" applyBorder="1" applyAlignment="1">
      <alignment horizontal="center" vertical="center" wrapText="1"/>
    </xf>
    <xf numFmtId="0" fontId="9" fillId="10" borderId="2" xfId="0" applyFont="1" applyFill="1" applyBorder="1" applyAlignment="1">
      <alignment horizontal="center" vertical="center" wrapText="1"/>
    </xf>
    <xf numFmtId="0" fontId="9" fillId="10" borderId="4" xfId="0" applyFont="1" applyFill="1" applyBorder="1" applyAlignment="1">
      <alignment horizontal="center" vertical="center"/>
    </xf>
    <xf numFmtId="0" fontId="9" fillId="10" borderId="3" xfId="0" applyFont="1" applyFill="1" applyBorder="1" applyAlignment="1">
      <alignment horizontal="center" vertical="center"/>
    </xf>
  </cellXfs>
  <cellStyles count="1">
    <cellStyle name="Standaard" xfId="0" builtinId="0"/>
  </cellStyles>
  <dxfs count="8">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ill>
        <patternFill>
          <bgColor rgb="FFFFFF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zoomScale="115" zoomScaleNormal="115" workbookViewId="0">
      <selection activeCell="A11" sqref="A11"/>
    </sheetView>
  </sheetViews>
  <sheetFormatPr defaultRowHeight="14.4" x14ac:dyDescent="0.3"/>
  <cols>
    <col min="1" max="1" width="117.44140625" style="1" customWidth="1"/>
  </cols>
  <sheetData>
    <row r="1" spans="1:5" x14ac:dyDescent="0.3">
      <c r="A1" s="17" t="s">
        <v>94</v>
      </c>
    </row>
    <row r="2" spans="1:5" x14ac:dyDescent="0.3">
      <c r="A2" s="18" t="s">
        <v>68</v>
      </c>
      <c r="B2" s="22" t="b">
        <v>0</v>
      </c>
    </row>
    <row r="3" spans="1:5" x14ac:dyDescent="0.3">
      <c r="A3" s="18" t="s">
        <v>67</v>
      </c>
      <c r="B3" s="22" t="b">
        <v>0</v>
      </c>
    </row>
    <row r="4" spans="1:5" x14ac:dyDescent="0.3">
      <c r="A4" s="18" t="s">
        <v>69</v>
      </c>
      <c r="B4" s="22" t="b">
        <v>0</v>
      </c>
    </row>
    <row r="6" spans="1:5" x14ac:dyDescent="0.3">
      <c r="A6" s="17" t="s">
        <v>0</v>
      </c>
    </row>
    <row r="7" spans="1:5" x14ac:dyDescent="0.3">
      <c r="A7" s="21" t="s">
        <v>2</v>
      </c>
      <c r="B7" s="22" t="b">
        <v>0</v>
      </c>
      <c r="E7" s="2"/>
    </row>
    <row r="8" spans="1:5" x14ac:dyDescent="0.3">
      <c r="A8" s="21" t="s">
        <v>1</v>
      </c>
      <c r="B8" s="22" t="b">
        <v>0</v>
      </c>
    </row>
    <row r="9" spans="1:5" x14ac:dyDescent="0.3">
      <c r="A9" t="s">
        <v>103</v>
      </c>
    </row>
    <row r="10" spans="1:5" x14ac:dyDescent="0.3">
      <c r="A10" s="19" t="s">
        <v>9</v>
      </c>
      <c r="B10" s="22" t="b">
        <v>0</v>
      </c>
    </row>
    <row r="11" spans="1:5" ht="28.8" x14ac:dyDescent="0.3">
      <c r="A11" s="20" t="s">
        <v>95</v>
      </c>
      <c r="B11" s="22" t="b">
        <v>0</v>
      </c>
      <c r="E11" s="2"/>
    </row>
  </sheetData>
  <sheetProtection selectLockedCells="1"/>
  <conditionalFormatting sqref="A2:A4 A7:A8 A10:A11">
    <cfRule type="expression" dxfId="7" priority="29">
      <formula>B2=FALSE</formula>
    </cfRule>
    <cfRule type="expression" dxfId="6" priority="30">
      <formula>B2=TRUE</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5F85-501D-4EAA-86F7-D8E988962F47}">
  <dimension ref="A1:I80"/>
  <sheetViews>
    <sheetView tabSelected="1" zoomScale="85" zoomScaleNormal="85" workbookViewId="0">
      <selection activeCell="D30" sqref="D30:D33"/>
    </sheetView>
  </sheetViews>
  <sheetFormatPr defaultRowHeight="14.4" x14ac:dyDescent="0.3"/>
  <cols>
    <col min="1" max="1" width="23.6640625" style="2" customWidth="1"/>
    <col min="2" max="2" width="19.88671875" style="23" customWidth="1"/>
    <col min="3" max="3" width="94.109375" style="24" customWidth="1"/>
    <col min="4" max="4" width="24.88671875" style="23" customWidth="1"/>
    <col min="5" max="5" width="101.33203125" style="24" customWidth="1"/>
  </cols>
  <sheetData>
    <row r="1" spans="1:9" ht="31.5" customHeight="1" thickBot="1" x14ac:dyDescent="0.35">
      <c r="A1" s="147" t="s">
        <v>100</v>
      </c>
      <c r="B1" s="148"/>
      <c r="C1" s="148"/>
      <c r="D1" s="148"/>
      <c r="E1" s="149"/>
    </row>
    <row r="2" spans="1:9" ht="5.25" customHeight="1" thickBot="1" x14ac:dyDescent="0.35"/>
    <row r="3" spans="1:9" ht="39" customHeight="1" thickBot="1" x14ac:dyDescent="0.35">
      <c r="A3" s="150" t="s">
        <v>86</v>
      </c>
      <c r="B3" s="151"/>
      <c r="C3" s="151"/>
      <c r="D3" s="151"/>
      <c r="E3" s="152"/>
      <c r="F3" s="21"/>
    </row>
    <row r="4" spans="1:9" x14ac:dyDescent="0.3">
      <c r="A4" s="145" t="s">
        <v>3</v>
      </c>
      <c r="B4" s="25" t="s">
        <v>4</v>
      </c>
      <c r="C4" s="26" t="s">
        <v>6</v>
      </c>
      <c r="D4" s="26" t="s">
        <v>7</v>
      </c>
      <c r="E4" s="27" t="s">
        <v>8</v>
      </c>
      <c r="F4" s="21"/>
    </row>
    <row r="5" spans="1:9" ht="15" thickBot="1" x14ac:dyDescent="0.35">
      <c r="A5" s="146"/>
      <c r="B5" s="28" t="s">
        <v>5</v>
      </c>
      <c r="C5" s="29" t="s">
        <v>28</v>
      </c>
      <c r="D5" s="29" t="s">
        <v>29</v>
      </c>
      <c r="E5" s="30" t="s">
        <v>30</v>
      </c>
      <c r="F5" s="21"/>
    </row>
    <row r="6" spans="1:9" ht="3.75" customHeight="1" thickBot="1" x14ac:dyDescent="0.35">
      <c r="A6" s="81"/>
      <c r="B6" s="31"/>
      <c r="C6" s="32"/>
      <c r="D6" s="32"/>
      <c r="E6" s="32"/>
      <c r="F6" s="21"/>
    </row>
    <row r="7" spans="1:9" ht="32.25" customHeight="1" x14ac:dyDescent="0.3">
      <c r="A7" s="114" t="s">
        <v>120</v>
      </c>
      <c r="B7" s="102" t="s">
        <v>25</v>
      </c>
      <c r="C7" s="135" t="s">
        <v>44</v>
      </c>
      <c r="D7" s="105" t="s">
        <v>89</v>
      </c>
      <c r="E7" s="3" t="s">
        <v>32</v>
      </c>
      <c r="F7" s="88" t="s">
        <v>97</v>
      </c>
      <c r="G7" s="21"/>
      <c r="H7" s="21"/>
      <c r="I7" s="21"/>
    </row>
    <row r="8" spans="1:9" ht="15" thickBot="1" x14ac:dyDescent="0.35">
      <c r="A8" s="140"/>
      <c r="B8" s="142"/>
      <c r="C8" s="109"/>
      <c r="D8" s="144"/>
      <c r="E8" s="49" t="s">
        <v>10</v>
      </c>
      <c r="F8" s="90"/>
      <c r="G8" s="21"/>
      <c r="H8" s="21"/>
      <c r="I8" s="21"/>
    </row>
    <row r="9" spans="1:9" ht="4.5" customHeight="1" thickBot="1" x14ac:dyDescent="0.35">
      <c r="A9" s="82"/>
      <c r="B9" s="33"/>
      <c r="C9" s="33"/>
      <c r="D9" s="33"/>
      <c r="E9" s="34"/>
      <c r="F9" s="21"/>
      <c r="G9" s="21"/>
      <c r="H9" s="21"/>
      <c r="I9" s="21"/>
    </row>
    <row r="10" spans="1:9" ht="19.5" customHeight="1" x14ac:dyDescent="0.3">
      <c r="A10" s="139" t="s">
        <v>121</v>
      </c>
      <c r="B10" s="141" t="s">
        <v>25</v>
      </c>
      <c r="C10" s="109" t="s">
        <v>26</v>
      </c>
      <c r="D10" s="143" t="s">
        <v>90</v>
      </c>
      <c r="E10" s="50" t="s">
        <v>27</v>
      </c>
      <c r="F10" s="88" t="s">
        <v>97</v>
      </c>
      <c r="G10" s="21"/>
      <c r="H10" s="21"/>
      <c r="I10" s="21"/>
    </row>
    <row r="11" spans="1:9" ht="15" customHeight="1" x14ac:dyDescent="0.3">
      <c r="A11" s="115"/>
      <c r="B11" s="124"/>
      <c r="C11" s="109"/>
      <c r="D11" s="126"/>
      <c r="E11" s="4" t="s">
        <v>11</v>
      </c>
      <c r="F11" s="89"/>
      <c r="G11" s="21"/>
      <c r="H11" s="21"/>
      <c r="I11" s="21"/>
    </row>
    <row r="12" spans="1:9" ht="18" customHeight="1" x14ac:dyDescent="0.3">
      <c r="A12" s="115"/>
      <c r="B12" s="124"/>
      <c r="C12" s="109"/>
      <c r="D12" s="126"/>
      <c r="E12" s="4" t="s">
        <v>12</v>
      </c>
      <c r="F12" s="89"/>
      <c r="G12" s="21"/>
      <c r="H12" s="21"/>
      <c r="I12" s="21"/>
    </row>
    <row r="13" spans="1:9" ht="29.4" thickBot="1" x14ac:dyDescent="0.35">
      <c r="A13" s="116"/>
      <c r="B13" s="125"/>
      <c r="C13" s="110"/>
      <c r="D13" s="127"/>
      <c r="E13" s="5" t="s">
        <v>45</v>
      </c>
      <c r="F13" s="90"/>
      <c r="G13" s="21"/>
      <c r="H13" s="21"/>
      <c r="I13" s="21"/>
    </row>
    <row r="14" spans="1:9" ht="4.5" customHeight="1" thickBot="1" x14ac:dyDescent="0.35">
      <c r="A14" s="82"/>
      <c r="B14" s="33"/>
      <c r="C14" s="33"/>
      <c r="D14" s="33"/>
      <c r="E14" s="34"/>
      <c r="F14" s="21"/>
      <c r="G14" s="21"/>
      <c r="H14" s="21"/>
      <c r="I14" s="21"/>
    </row>
    <row r="15" spans="1:9" ht="19.5" customHeight="1" x14ac:dyDescent="0.3">
      <c r="A15" s="114" t="s">
        <v>122</v>
      </c>
      <c r="B15" s="102" t="s">
        <v>25</v>
      </c>
      <c r="C15" s="135" t="s">
        <v>13</v>
      </c>
      <c r="D15" s="105" t="s">
        <v>90</v>
      </c>
      <c r="E15" s="3" t="s">
        <v>21</v>
      </c>
      <c r="F15" s="88" t="s">
        <v>97</v>
      </c>
      <c r="G15" s="21"/>
      <c r="H15" s="21"/>
      <c r="I15" s="21"/>
    </row>
    <row r="16" spans="1:9" x14ac:dyDescent="0.3">
      <c r="A16" s="115"/>
      <c r="B16" s="103"/>
      <c r="C16" s="109"/>
      <c r="D16" s="106"/>
      <c r="E16" s="4" t="s">
        <v>34</v>
      </c>
      <c r="F16" s="89"/>
      <c r="G16" s="21"/>
      <c r="H16" s="21"/>
      <c r="I16" s="21"/>
    </row>
    <row r="17" spans="1:9" ht="19.5" customHeight="1" x14ac:dyDescent="0.3">
      <c r="A17" s="115"/>
      <c r="B17" s="103"/>
      <c r="C17" s="109"/>
      <c r="D17" s="106"/>
      <c r="E17" s="4" t="s">
        <v>31</v>
      </c>
      <c r="F17" s="89"/>
      <c r="G17" s="21"/>
      <c r="H17" s="21"/>
      <c r="I17" s="21"/>
    </row>
    <row r="18" spans="1:9" ht="15" thickBot="1" x14ac:dyDescent="0.35">
      <c r="A18" s="116"/>
      <c r="B18" s="104"/>
      <c r="C18" s="110"/>
      <c r="D18" s="107"/>
      <c r="E18" s="5" t="s">
        <v>33</v>
      </c>
      <c r="F18" s="90"/>
      <c r="G18" s="21"/>
      <c r="H18" s="21"/>
      <c r="I18" s="21"/>
    </row>
    <row r="19" spans="1:9" ht="4.5" customHeight="1" thickBot="1" x14ac:dyDescent="0.35">
      <c r="A19" s="82"/>
      <c r="B19" s="33"/>
      <c r="C19" s="33"/>
      <c r="D19" s="33"/>
      <c r="E19" s="34"/>
      <c r="F19" s="21"/>
      <c r="G19" s="21"/>
      <c r="H19" s="21"/>
      <c r="I19" s="21"/>
    </row>
    <row r="20" spans="1:9" ht="18.75" customHeight="1" x14ac:dyDescent="0.3">
      <c r="A20" s="114" t="s">
        <v>123</v>
      </c>
      <c r="B20" s="102" t="s">
        <v>25</v>
      </c>
      <c r="C20" s="6" t="s">
        <v>35</v>
      </c>
      <c r="D20" s="132" t="s">
        <v>46</v>
      </c>
      <c r="E20" s="136" t="s">
        <v>59</v>
      </c>
      <c r="F20" s="88" t="s">
        <v>97</v>
      </c>
      <c r="G20" s="21"/>
      <c r="H20" s="21"/>
      <c r="I20" s="21"/>
    </row>
    <row r="21" spans="1:9" ht="18.75" customHeight="1" x14ac:dyDescent="0.3">
      <c r="A21" s="115"/>
      <c r="B21" s="103"/>
      <c r="C21" s="7" t="s">
        <v>22</v>
      </c>
      <c r="D21" s="133"/>
      <c r="E21" s="137"/>
      <c r="F21" s="89"/>
      <c r="G21" s="21"/>
      <c r="H21" s="21"/>
      <c r="I21" s="21"/>
    </row>
    <row r="22" spans="1:9" ht="18" customHeight="1" thickBot="1" x14ac:dyDescent="0.35">
      <c r="A22" s="116"/>
      <c r="B22" s="104"/>
      <c r="C22" s="8" t="s">
        <v>58</v>
      </c>
      <c r="D22" s="134"/>
      <c r="E22" s="138"/>
      <c r="F22" s="90"/>
      <c r="G22" s="21"/>
      <c r="H22" s="21"/>
      <c r="I22" s="21"/>
    </row>
    <row r="23" spans="1:9" ht="4.5" customHeight="1" thickBot="1" x14ac:dyDescent="0.35">
      <c r="A23" s="82"/>
      <c r="B23" s="33"/>
      <c r="C23" s="33"/>
      <c r="D23" s="33"/>
      <c r="E23" s="34"/>
      <c r="F23" s="21"/>
      <c r="G23" s="21"/>
      <c r="H23" s="21"/>
      <c r="I23" s="21"/>
    </row>
    <row r="24" spans="1:9" ht="18.75" customHeight="1" x14ac:dyDescent="0.3">
      <c r="A24" s="139" t="s">
        <v>124</v>
      </c>
      <c r="B24" s="141" t="s">
        <v>25</v>
      </c>
      <c r="C24" s="52" t="s">
        <v>70</v>
      </c>
      <c r="D24" s="143" t="s">
        <v>90</v>
      </c>
      <c r="E24" s="50" t="s">
        <v>19</v>
      </c>
      <c r="F24" s="88" t="s">
        <v>97</v>
      </c>
      <c r="G24" s="21"/>
      <c r="H24" s="21"/>
      <c r="I24" s="21"/>
    </row>
    <row r="25" spans="1:9" ht="32.25" customHeight="1" x14ac:dyDescent="0.3">
      <c r="A25" s="115"/>
      <c r="B25" s="103"/>
      <c r="C25" s="7" t="s">
        <v>47</v>
      </c>
      <c r="D25" s="106"/>
      <c r="E25" s="53" t="s">
        <v>73</v>
      </c>
      <c r="F25" s="89"/>
      <c r="G25" s="21"/>
      <c r="H25" s="21"/>
      <c r="I25" s="21"/>
    </row>
    <row r="26" spans="1:9" ht="34.5" customHeight="1" x14ac:dyDescent="0.3">
      <c r="A26" s="115"/>
      <c r="B26" s="103"/>
      <c r="C26" s="7" t="s">
        <v>81</v>
      </c>
      <c r="D26" s="106"/>
      <c r="E26" s="53" t="s">
        <v>74</v>
      </c>
      <c r="F26" s="89"/>
      <c r="G26" s="21"/>
      <c r="H26" s="21"/>
      <c r="I26" s="21"/>
    </row>
    <row r="27" spans="1:9" ht="18.75" customHeight="1" x14ac:dyDescent="0.3">
      <c r="A27" s="115"/>
      <c r="B27" s="103"/>
      <c r="C27" s="7" t="s">
        <v>72</v>
      </c>
      <c r="D27" s="106"/>
      <c r="E27" s="117" t="s">
        <v>75</v>
      </c>
      <c r="F27" s="89"/>
      <c r="G27" s="21"/>
      <c r="H27" s="21"/>
      <c r="I27" s="21"/>
    </row>
    <row r="28" spans="1:9" ht="60" customHeight="1" thickBot="1" x14ac:dyDescent="0.35">
      <c r="A28" s="140"/>
      <c r="B28" s="142"/>
      <c r="C28" s="11" t="s">
        <v>71</v>
      </c>
      <c r="D28" s="144"/>
      <c r="E28" s="118"/>
      <c r="F28" s="90"/>
      <c r="G28" s="21"/>
      <c r="H28" s="21"/>
      <c r="I28" s="21"/>
    </row>
    <row r="29" spans="1:9" ht="4.5" customHeight="1" thickBot="1" x14ac:dyDescent="0.35">
      <c r="A29" s="82"/>
      <c r="B29" s="33"/>
      <c r="C29" s="33"/>
      <c r="D29" s="33"/>
      <c r="E29" s="34"/>
      <c r="F29" s="21"/>
      <c r="G29" s="21"/>
      <c r="H29" s="21"/>
      <c r="I29" s="21"/>
    </row>
    <row r="30" spans="1:9" ht="20.25" customHeight="1" x14ac:dyDescent="0.3">
      <c r="A30" s="114" t="s">
        <v>125</v>
      </c>
      <c r="B30" s="102" t="s">
        <v>25</v>
      </c>
      <c r="C30" s="6" t="s">
        <v>38</v>
      </c>
      <c r="D30" s="105" t="s">
        <v>90</v>
      </c>
      <c r="E30" s="3" t="s">
        <v>60</v>
      </c>
      <c r="F30" s="88" t="s">
        <v>97</v>
      </c>
    </row>
    <row r="31" spans="1:9" ht="21" customHeight="1" x14ac:dyDescent="0.3">
      <c r="A31" s="115"/>
      <c r="B31" s="103"/>
      <c r="C31" s="7" t="s">
        <v>39</v>
      </c>
      <c r="D31" s="106"/>
      <c r="E31" s="4" t="s">
        <v>23</v>
      </c>
      <c r="F31" s="89"/>
    </row>
    <row r="32" spans="1:9" ht="21" customHeight="1" x14ac:dyDescent="0.3">
      <c r="A32" s="115"/>
      <c r="B32" s="103"/>
      <c r="C32" s="7" t="s">
        <v>40</v>
      </c>
      <c r="D32" s="106"/>
      <c r="E32" s="4" t="s">
        <v>24</v>
      </c>
      <c r="F32" s="89"/>
    </row>
    <row r="33" spans="1:9" ht="15" thickBot="1" x14ac:dyDescent="0.35">
      <c r="A33" s="116"/>
      <c r="B33" s="104"/>
      <c r="C33" s="8" t="s">
        <v>41</v>
      </c>
      <c r="D33" s="107"/>
      <c r="E33" s="5" t="s">
        <v>43</v>
      </c>
      <c r="F33" s="90"/>
    </row>
    <row r="34" spans="1:9" ht="3.75" customHeight="1" thickBot="1" x14ac:dyDescent="0.35">
      <c r="A34" s="81"/>
      <c r="B34" s="31"/>
      <c r="C34" s="32"/>
      <c r="D34" s="32"/>
      <c r="E34" s="32"/>
      <c r="F34" s="21"/>
    </row>
    <row r="35" spans="1:9" ht="28.5" customHeight="1" thickBot="1" x14ac:dyDescent="0.35">
      <c r="A35" s="83"/>
      <c r="B35" s="43"/>
      <c r="C35" s="44"/>
      <c r="D35" s="45"/>
      <c r="E35" s="42" t="s">
        <v>92</v>
      </c>
      <c r="F35" s="35">
        <f>COUNTIF(F7:F33,"S")*0.375 + COUNTIF(F7:F33,"G")*0.55 + COUNTIF(F7:F33,"E")*0.75</f>
        <v>0</v>
      </c>
      <c r="G35" s="36" t="s">
        <v>91</v>
      </c>
      <c r="H35" s="37">
        <f>6*0.75</f>
        <v>4.5</v>
      </c>
    </row>
    <row r="36" spans="1:9" ht="4.5" customHeight="1" thickBot="1" x14ac:dyDescent="0.35">
      <c r="A36" s="81"/>
      <c r="B36" s="31"/>
      <c r="C36" s="32"/>
      <c r="D36" s="32"/>
      <c r="E36" s="32"/>
      <c r="F36" s="21"/>
    </row>
    <row r="37" spans="1:9" ht="39" customHeight="1" thickBot="1" x14ac:dyDescent="0.35">
      <c r="A37" s="99" t="s">
        <v>87</v>
      </c>
      <c r="B37" s="100"/>
      <c r="C37" s="100"/>
      <c r="D37" s="100"/>
      <c r="E37" s="101"/>
      <c r="F37" s="21"/>
    </row>
    <row r="38" spans="1:9" x14ac:dyDescent="0.3">
      <c r="A38" s="145" t="s">
        <v>3</v>
      </c>
      <c r="B38" s="25" t="s">
        <v>4</v>
      </c>
      <c r="C38" s="26" t="s">
        <v>6</v>
      </c>
      <c r="D38" s="26" t="s">
        <v>7</v>
      </c>
      <c r="E38" s="27" t="s">
        <v>8</v>
      </c>
      <c r="F38" s="21"/>
    </row>
    <row r="39" spans="1:9" ht="15" thickBot="1" x14ac:dyDescent="0.35">
      <c r="A39" s="146"/>
      <c r="B39" s="28" t="s">
        <v>5</v>
      </c>
      <c r="C39" s="29" t="s">
        <v>28</v>
      </c>
      <c r="D39" s="29" t="s">
        <v>29</v>
      </c>
      <c r="E39" s="30" t="s">
        <v>30</v>
      </c>
      <c r="F39" s="21"/>
    </row>
    <row r="40" spans="1:9" ht="3.75" customHeight="1" thickBot="1" x14ac:dyDescent="0.35">
      <c r="A40" s="81"/>
      <c r="B40" s="31"/>
      <c r="C40" s="32"/>
      <c r="D40" s="32"/>
      <c r="E40" s="32"/>
      <c r="F40" s="21"/>
    </row>
    <row r="41" spans="1:9" ht="33" customHeight="1" x14ac:dyDescent="0.3">
      <c r="A41" s="111" t="s">
        <v>126</v>
      </c>
      <c r="B41" s="102" t="s">
        <v>25</v>
      </c>
      <c r="C41" s="6" t="s">
        <v>57</v>
      </c>
      <c r="D41" s="105" t="s">
        <v>90</v>
      </c>
      <c r="E41" s="9" t="s">
        <v>77</v>
      </c>
      <c r="F41" s="88" t="s">
        <v>97</v>
      </c>
    </row>
    <row r="42" spans="1:9" ht="33" customHeight="1" x14ac:dyDescent="0.3">
      <c r="A42" s="112"/>
      <c r="B42" s="103"/>
      <c r="C42" s="7" t="s">
        <v>17</v>
      </c>
      <c r="D42" s="106"/>
      <c r="E42" s="10" t="s">
        <v>61</v>
      </c>
      <c r="F42" s="89"/>
    </row>
    <row r="43" spans="1:9" ht="28.8" x14ac:dyDescent="0.3">
      <c r="A43" s="112"/>
      <c r="B43" s="103"/>
      <c r="C43" s="7" t="s">
        <v>76</v>
      </c>
      <c r="D43" s="106"/>
      <c r="E43" s="119" t="s">
        <v>18</v>
      </c>
      <c r="F43" s="89"/>
    </row>
    <row r="44" spans="1:9" ht="15" thickBot="1" x14ac:dyDescent="0.35">
      <c r="A44" s="113"/>
      <c r="B44" s="104"/>
      <c r="C44" s="8" t="s">
        <v>42</v>
      </c>
      <c r="D44" s="107"/>
      <c r="E44" s="120"/>
      <c r="F44" s="90"/>
    </row>
    <row r="45" spans="1:9" ht="4.5" customHeight="1" thickBot="1" x14ac:dyDescent="0.35">
      <c r="A45" s="82"/>
      <c r="B45" s="33"/>
      <c r="C45" s="33"/>
      <c r="D45" s="33"/>
      <c r="E45" s="34"/>
      <c r="F45" s="21"/>
      <c r="G45" s="21"/>
      <c r="H45" s="21"/>
      <c r="I45" s="21"/>
    </row>
    <row r="46" spans="1:9" ht="34.5" customHeight="1" x14ac:dyDescent="0.3">
      <c r="A46" s="111" t="s">
        <v>127</v>
      </c>
      <c r="B46" s="102" t="s">
        <v>25</v>
      </c>
      <c r="C46" s="6" t="s">
        <v>48</v>
      </c>
      <c r="D46" s="105" t="s">
        <v>90</v>
      </c>
      <c r="E46" s="9" t="s">
        <v>50</v>
      </c>
      <c r="F46" s="88" t="s">
        <v>97</v>
      </c>
      <c r="G46" s="21"/>
      <c r="H46" s="21"/>
      <c r="I46" s="21"/>
    </row>
    <row r="47" spans="1:9" x14ac:dyDescent="0.3">
      <c r="A47" s="112"/>
      <c r="B47" s="103"/>
      <c r="C47" s="108" t="s">
        <v>36</v>
      </c>
      <c r="D47" s="106"/>
      <c r="E47" s="10" t="s">
        <v>51</v>
      </c>
      <c r="F47" s="89"/>
      <c r="G47" s="21"/>
      <c r="H47" s="21"/>
      <c r="I47" s="21"/>
    </row>
    <row r="48" spans="1:9" ht="28.8" x14ac:dyDescent="0.3">
      <c r="A48" s="112"/>
      <c r="B48" s="103"/>
      <c r="C48" s="109"/>
      <c r="D48" s="106"/>
      <c r="E48" s="10" t="s">
        <v>49</v>
      </c>
      <c r="F48" s="89"/>
      <c r="G48" s="21"/>
      <c r="H48" s="21"/>
      <c r="I48" s="21"/>
    </row>
    <row r="49" spans="1:9" ht="29.4" thickBot="1" x14ac:dyDescent="0.35">
      <c r="A49" s="113"/>
      <c r="B49" s="104"/>
      <c r="C49" s="110"/>
      <c r="D49" s="107"/>
      <c r="E49" s="12" t="s">
        <v>78</v>
      </c>
      <c r="F49" s="90"/>
      <c r="G49" s="21"/>
      <c r="H49" s="21"/>
      <c r="I49" s="21"/>
    </row>
    <row r="50" spans="1:9" ht="4.5" customHeight="1" thickBot="1" x14ac:dyDescent="0.35">
      <c r="A50" s="82"/>
      <c r="B50" s="33"/>
      <c r="C50" s="33"/>
      <c r="D50" s="33"/>
      <c r="E50" s="34"/>
      <c r="F50" s="21"/>
      <c r="G50" s="21"/>
      <c r="H50" s="21"/>
      <c r="I50" s="21"/>
    </row>
    <row r="51" spans="1:9" x14ac:dyDescent="0.3">
      <c r="A51" s="111" t="s">
        <v>128</v>
      </c>
      <c r="B51" s="102" t="s">
        <v>25</v>
      </c>
      <c r="C51" s="6" t="s">
        <v>80</v>
      </c>
      <c r="D51" s="105" t="s">
        <v>90</v>
      </c>
      <c r="E51" s="9" t="s">
        <v>62</v>
      </c>
      <c r="F51" s="88" t="s">
        <v>97</v>
      </c>
    </row>
    <row r="52" spans="1:9" ht="17.25" customHeight="1" x14ac:dyDescent="0.3">
      <c r="A52" s="112"/>
      <c r="B52" s="103"/>
      <c r="C52" s="7" t="s">
        <v>79</v>
      </c>
      <c r="D52" s="106"/>
      <c r="E52" s="10" t="s">
        <v>37</v>
      </c>
      <c r="F52" s="89"/>
    </row>
    <row r="53" spans="1:9" ht="18.75" customHeight="1" x14ac:dyDescent="0.3">
      <c r="A53" s="112"/>
      <c r="B53" s="103"/>
      <c r="C53" s="13"/>
      <c r="D53" s="106"/>
      <c r="E53" s="10" t="s">
        <v>82</v>
      </c>
      <c r="F53" s="89"/>
    </row>
    <row r="54" spans="1:9" ht="43.8" thickBot="1" x14ac:dyDescent="0.35">
      <c r="A54" s="113"/>
      <c r="B54" s="104"/>
      <c r="C54" s="14"/>
      <c r="D54" s="107"/>
      <c r="E54" s="12" t="s">
        <v>63</v>
      </c>
      <c r="F54" s="90"/>
    </row>
    <row r="55" spans="1:9" ht="4.5" customHeight="1" thickBot="1" x14ac:dyDescent="0.35">
      <c r="A55" s="82"/>
      <c r="B55" s="33"/>
      <c r="C55" s="33"/>
      <c r="D55" s="33"/>
      <c r="E55" s="34"/>
      <c r="F55" s="21"/>
      <c r="G55" s="21"/>
      <c r="H55" s="21"/>
      <c r="I55" s="21"/>
    </row>
    <row r="56" spans="1:9" ht="20.25" customHeight="1" x14ac:dyDescent="0.3">
      <c r="A56" s="111" t="s">
        <v>129</v>
      </c>
      <c r="B56" s="102" t="s">
        <v>25</v>
      </c>
      <c r="C56" s="48" t="s">
        <v>54</v>
      </c>
      <c r="D56" s="105" t="s">
        <v>90</v>
      </c>
      <c r="E56" s="9" t="s">
        <v>55</v>
      </c>
      <c r="F56" s="88" t="s">
        <v>97</v>
      </c>
    </row>
    <row r="57" spans="1:9" ht="19.5" customHeight="1" x14ac:dyDescent="0.3">
      <c r="A57" s="112"/>
      <c r="B57" s="124"/>
      <c r="C57" s="11"/>
      <c r="D57" s="126"/>
      <c r="E57" s="10" t="s">
        <v>64</v>
      </c>
      <c r="F57" s="89"/>
    </row>
    <row r="58" spans="1:9" ht="18.75" customHeight="1" thickBot="1" x14ac:dyDescent="0.35">
      <c r="A58" s="113"/>
      <c r="B58" s="125"/>
      <c r="C58" s="51"/>
      <c r="D58" s="127"/>
      <c r="E58" s="12" t="s">
        <v>56</v>
      </c>
      <c r="F58" s="90"/>
    </row>
    <row r="59" spans="1:9" ht="4.5" customHeight="1" thickBot="1" x14ac:dyDescent="0.35">
      <c r="A59" s="82"/>
      <c r="B59" s="33"/>
      <c r="C59" s="33"/>
      <c r="D59" s="33"/>
      <c r="E59" s="34"/>
      <c r="F59" s="21"/>
      <c r="G59" s="21"/>
      <c r="H59" s="21"/>
      <c r="I59" s="21"/>
    </row>
    <row r="60" spans="1:9" ht="21" customHeight="1" x14ac:dyDescent="0.3">
      <c r="A60" s="111" t="s">
        <v>130</v>
      </c>
      <c r="B60" s="102" t="s">
        <v>25</v>
      </c>
      <c r="C60" s="6" t="s">
        <v>15</v>
      </c>
      <c r="D60" s="105" t="s">
        <v>90</v>
      </c>
      <c r="E60" s="9" t="s">
        <v>20</v>
      </c>
      <c r="F60" s="88" t="s">
        <v>97</v>
      </c>
    </row>
    <row r="61" spans="1:9" ht="45.75" customHeight="1" x14ac:dyDescent="0.3">
      <c r="A61" s="112"/>
      <c r="B61" s="103"/>
      <c r="C61" s="11" t="s">
        <v>16</v>
      </c>
      <c r="D61" s="106"/>
      <c r="E61" s="10" t="s">
        <v>83</v>
      </c>
      <c r="F61" s="89"/>
    </row>
    <row r="62" spans="1:9" ht="15" thickBot="1" x14ac:dyDescent="0.35">
      <c r="A62" s="113"/>
      <c r="B62" s="125"/>
      <c r="C62" s="8"/>
      <c r="D62" s="127"/>
      <c r="E62" s="12" t="s">
        <v>65</v>
      </c>
      <c r="F62" s="90"/>
    </row>
    <row r="63" spans="1:9" ht="5.25" customHeight="1" thickBot="1" x14ac:dyDescent="0.35">
      <c r="A63" s="81"/>
      <c r="B63" s="31"/>
      <c r="C63" s="32"/>
      <c r="D63" s="32"/>
      <c r="E63" s="32"/>
      <c r="F63" s="21"/>
    </row>
    <row r="64" spans="1:9" ht="28.5" customHeight="1" thickBot="1" x14ac:dyDescent="0.35">
      <c r="A64" s="83"/>
      <c r="B64" s="43"/>
      <c r="C64" s="44"/>
      <c r="D64" s="45"/>
      <c r="E64" s="42" t="s">
        <v>92</v>
      </c>
      <c r="F64" s="35">
        <f>COUNTIF(F41:F62,"S")*0.375 + COUNTIF(F41:F62,"G")*0.55 + COUNTIF(F41:F62,"E")*0.75</f>
        <v>0</v>
      </c>
      <c r="G64" s="36" t="s">
        <v>91</v>
      </c>
      <c r="H64" s="37">
        <f>5*0.75</f>
        <v>3.75</v>
      </c>
    </row>
    <row r="65" spans="1:9" ht="4.5" customHeight="1" thickBot="1" x14ac:dyDescent="0.35">
      <c r="A65" s="81"/>
      <c r="B65" s="31"/>
      <c r="C65" s="32"/>
      <c r="D65" s="32"/>
      <c r="E65" s="32"/>
      <c r="F65" s="21"/>
    </row>
    <row r="66" spans="1:9" ht="39" customHeight="1" thickBot="1" x14ac:dyDescent="0.35">
      <c r="A66" s="128" t="s">
        <v>88</v>
      </c>
      <c r="B66" s="129"/>
      <c r="C66" s="129"/>
      <c r="D66" s="129"/>
      <c r="E66" s="130"/>
      <c r="F66" s="21"/>
    </row>
    <row r="67" spans="1:9" x14ac:dyDescent="0.3">
      <c r="A67" s="131" t="s">
        <v>3</v>
      </c>
      <c r="B67" s="38" t="s">
        <v>4</v>
      </c>
      <c r="C67" s="39" t="s">
        <v>6</v>
      </c>
      <c r="D67" s="39" t="s">
        <v>7</v>
      </c>
      <c r="E67" s="39" t="s">
        <v>8</v>
      </c>
      <c r="F67" s="21"/>
    </row>
    <row r="68" spans="1:9" x14ac:dyDescent="0.3">
      <c r="A68" s="131"/>
      <c r="B68" s="40" t="s">
        <v>5</v>
      </c>
      <c r="C68" s="41" t="s">
        <v>28</v>
      </c>
      <c r="D68" s="41" t="s">
        <v>29</v>
      </c>
      <c r="E68" s="41" t="s">
        <v>30</v>
      </c>
      <c r="F68" s="21"/>
    </row>
    <row r="69" spans="1:9" ht="5.25" customHeight="1" thickBot="1" x14ac:dyDescent="0.35">
      <c r="A69" s="81"/>
      <c r="B69" s="31"/>
      <c r="C69" s="32"/>
      <c r="D69" s="32"/>
      <c r="E69" s="32"/>
      <c r="F69" s="21"/>
    </row>
    <row r="70" spans="1:9" ht="28.8" x14ac:dyDescent="0.3">
      <c r="A70" s="121" t="s">
        <v>131</v>
      </c>
      <c r="B70" s="102" t="s">
        <v>25</v>
      </c>
      <c r="C70" s="6" t="s">
        <v>52</v>
      </c>
      <c r="D70" s="105" t="s">
        <v>90</v>
      </c>
      <c r="E70" s="9" t="s">
        <v>14</v>
      </c>
      <c r="F70" s="88" t="s">
        <v>97</v>
      </c>
      <c r="G70" s="21"/>
      <c r="H70" s="21"/>
      <c r="I70" s="21"/>
    </row>
    <row r="71" spans="1:9" x14ac:dyDescent="0.3">
      <c r="A71" s="122"/>
      <c r="B71" s="103"/>
      <c r="C71" s="15" t="s">
        <v>53</v>
      </c>
      <c r="D71" s="106"/>
      <c r="E71" s="10" t="s">
        <v>84</v>
      </c>
      <c r="F71" s="89"/>
      <c r="G71" s="21"/>
      <c r="H71" s="21"/>
      <c r="I71" s="21"/>
    </row>
    <row r="72" spans="1:9" x14ac:dyDescent="0.3">
      <c r="A72" s="122"/>
      <c r="B72" s="103"/>
      <c r="C72" s="16"/>
      <c r="D72" s="106"/>
      <c r="E72" s="10" t="s">
        <v>66</v>
      </c>
      <c r="F72" s="89"/>
    </row>
    <row r="73" spans="1:9" ht="29.4" thickBot="1" x14ac:dyDescent="0.35">
      <c r="A73" s="123"/>
      <c r="B73" s="104"/>
      <c r="C73" s="14"/>
      <c r="D73" s="107"/>
      <c r="E73" s="12" t="s">
        <v>85</v>
      </c>
      <c r="F73" s="90"/>
    </row>
    <row r="74" spans="1:9" ht="15" thickBot="1" x14ac:dyDescent="0.35"/>
    <row r="75" spans="1:9" x14ac:dyDescent="0.3">
      <c r="E75" s="93" t="s">
        <v>102</v>
      </c>
      <c r="F75" s="91" t="s">
        <v>105</v>
      </c>
    </row>
    <row r="76" spans="1:9" ht="15" thickBot="1" x14ac:dyDescent="0.35">
      <c r="E76" s="94"/>
      <c r="F76" s="92"/>
    </row>
    <row r="77" spans="1:9" x14ac:dyDescent="0.3">
      <c r="E77" s="95" t="s">
        <v>106</v>
      </c>
      <c r="F77" s="97">
        <f>COUNTIF(F70,"S")*0.375 + COUNTIF(F70,"G")*0.55 + COUNTIF(F70,"E")*0.75+F64+F35+IF(F75="YES",1,0)</f>
        <v>0</v>
      </c>
      <c r="G77" s="84" t="s">
        <v>93</v>
      </c>
      <c r="H77" s="86">
        <f>ROUND(F77,0)</f>
        <v>0</v>
      </c>
    </row>
    <row r="78" spans="1:9" ht="15" thickBot="1" x14ac:dyDescent="0.35">
      <c r="E78" s="96"/>
      <c r="F78" s="98">
        <f t="shared" ref="F78" si="0">COUNTIF(F55:F76,"S")*0.375 + COUNTIF(F55:F76,"G")*0.55 + COUNTIF(F55:F76,"E")*0.75</f>
        <v>0</v>
      </c>
      <c r="G78" s="85"/>
      <c r="H78" s="87"/>
    </row>
    <row r="80" spans="1:9" x14ac:dyDescent="0.3">
      <c r="E80" s="46" t="s">
        <v>104</v>
      </c>
      <c r="F80" s="47">
        <f xml:space="preserve"> COUNTIF(F41:F62,"I")+COUNTIF(F7:F33,"I")+COUNTIF(F70,"I")++COUNTIF(F75,"NO")</f>
        <v>13</v>
      </c>
    </row>
  </sheetData>
  <sheetProtection formatCells="0" selectLockedCells="1"/>
  <mergeCells count="68">
    <mergeCell ref="D10:D13"/>
    <mergeCell ref="C7:C8"/>
    <mergeCell ref="C10:C13"/>
    <mergeCell ref="A1:E1"/>
    <mergeCell ref="A7:A8"/>
    <mergeCell ref="B7:B8"/>
    <mergeCell ref="D7:D8"/>
    <mergeCell ref="A3:E3"/>
    <mergeCell ref="A4:A5"/>
    <mergeCell ref="A38:A39"/>
    <mergeCell ref="A41:A44"/>
    <mergeCell ref="B41:B44"/>
    <mergeCell ref="A10:A13"/>
    <mergeCell ref="B10:B13"/>
    <mergeCell ref="D20:D22"/>
    <mergeCell ref="C15:C18"/>
    <mergeCell ref="E20:E22"/>
    <mergeCell ref="A24:A28"/>
    <mergeCell ref="B24:B28"/>
    <mergeCell ref="D24:D28"/>
    <mergeCell ref="A70:A73"/>
    <mergeCell ref="B70:B73"/>
    <mergeCell ref="D70:D73"/>
    <mergeCell ref="A56:A58"/>
    <mergeCell ref="B56:B58"/>
    <mergeCell ref="D56:D58"/>
    <mergeCell ref="A66:E66"/>
    <mergeCell ref="A67:A68"/>
    <mergeCell ref="A60:A62"/>
    <mergeCell ref="B60:B62"/>
    <mergeCell ref="D60:D62"/>
    <mergeCell ref="D41:D44"/>
    <mergeCell ref="A46:A49"/>
    <mergeCell ref="B46:B49"/>
    <mergeCell ref="D46:D49"/>
    <mergeCell ref="F7:F8"/>
    <mergeCell ref="F10:F13"/>
    <mergeCell ref="F15:F18"/>
    <mergeCell ref="F20:F22"/>
    <mergeCell ref="F24:F28"/>
    <mergeCell ref="E27:E28"/>
    <mergeCell ref="E43:E44"/>
    <mergeCell ref="A15:A18"/>
    <mergeCell ref="B15:B18"/>
    <mergeCell ref="D15:D18"/>
    <mergeCell ref="A20:A22"/>
    <mergeCell ref="B20:B22"/>
    <mergeCell ref="E75:E76"/>
    <mergeCell ref="E77:E78"/>
    <mergeCell ref="F77:F78"/>
    <mergeCell ref="F30:F33"/>
    <mergeCell ref="F41:F44"/>
    <mergeCell ref="F46:F49"/>
    <mergeCell ref="F51:F54"/>
    <mergeCell ref="F56:F58"/>
    <mergeCell ref="A37:E37"/>
    <mergeCell ref="B30:B33"/>
    <mergeCell ref="D30:D33"/>
    <mergeCell ref="C47:C49"/>
    <mergeCell ref="A51:A54"/>
    <mergeCell ref="B51:B54"/>
    <mergeCell ref="D51:D54"/>
    <mergeCell ref="A30:A33"/>
    <mergeCell ref="G77:G78"/>
    <mergeCell ref="H77:H78"/>
    <mergeCell ref="F60:F62"/>
    <mergeCell ref="F70:F73"/>
    <mergeCell ref="F75:F76"/>
  </mergeCells>
  <conditionalFormatting sqref="F7 F10 F15 F20 F24 F30 F41 F46 F51 F56 F60 F70">
    <cfRule type="cellIs" dxfId="5" priority="3" stopIfTrue="1" operator="equal">
      <formula>"I"</formula>
    </cfRule>
  </conditionalFormatting>
  <conditionalFormatting sqref="F75:F76">
    <cfRule type="cellIs" dxfId="4" priority="2" operator="equal">
      <formula>"NO"</formula>
    </cfRule>
  </conditionalFormatting>
  <conditionalFormatting sqref="F77:F78">
    <cfRule type="expression" dxfId="3" priority="1">
      <formula>(COUNTIF(F41:F62,"I")+COUNTIF(F7:F33,"I")+COUNTIF(F70,"I")+COUNTIF(F75,"NO") &gt; 0)</formula>
    </cfRule>
  </conditionalFormatting>
  <dataValidations count="2">
    <dataValidation type="list" allowBlank="1" showInputMessage="1" showErrorMessage="1" sqref="F7:F8 F10:F13 F15:F18 F20:F21 F24:F25 F30:F33 F41:F44 F46:F49 F51:F54 F56:F57 F60:F62 F70:F73" xr:uid="{04108B48-C8E6-447A-A44A-DCBC50242942}">
      <formula1>"I,S,G,E"</formula1>
    </dataValidation>
    <dataValidation type="list" allowBlank="1" showInputMessage="1" showErrorMessage="1" sqref="F75:F76" xr:uid="{9D6E269C-E0A3-45DC-BE85-37212E448578}">
      <formula1>"YES,NO"</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8BCEF-550C-4195-A569-4DA7BD0FCCB2}">
  <dimension ref="A1:K84"/>
  <sheetViews>
    <sheetView zoomScale="85" zoomScaleNormal="85" workbookViewId="0">
      <selection activeCell="B15" sqref="B15:B18"/>
    </sheetView>
  </sheetViews>
  <sheetFormatPr defaultRowHeight="14.4" x14ac:dyDescent="0.3"/>
  <cols>
    <col min="1" max="1" width="23.6640625" style="2" customWidth="1"/>
    <col min="2" max="2" width="19.88671875" style="23" customWidth="1"/>
    <col min="3" max="3" width="94.109375" style="24" customWidth="1"/>
    <col min="4" max="4" width="24.88671875" style="23" customWidth="1"/>
    <col min="5" max="5" width="101.33203125" style="24" customWidth="1"/>
  </cols>
  <sheetData>
    <row r="1" spans="1:11" ht="31.5" customHeight="1" thickBot="1" x14ac:dyDescent="0.35">
      <c r="A1" s="147" t="s">
        <v>107</v>
      </c>
      <c r="B1" s="148"/>
      <c r="C1" s="148"/>
      <c r="D1" s="148"/>
      <c r="E1" s="149"/>
    </row>
    <row r="2" spans="1:11" ht="5.25" customHeight="1" thickBot="1" x14ac:dyDescent="0.35"/>
    <row r="3" spans="1:11" ht="39" customHeight="1" thickBot="1" x14ac:dyDescent="0.35">
      <c r="A3" s="150" t="s">
        <v>86</v>
      </c>
      <c r="B3" s="151"/>
      <c r="C3" s="151"/>
      <c r="D3" s="151"/>
      <c r="E3" s="152"/>
      <c r="F3" s="21"/>
    </row>
    <row r="4" spans="1:11" ht="15" customHeight="1" x14ac:dyDescent="0.3">
      <c r="A4" s="145" t="s">
        <v>3</v>
      </c>
      <c r="B4" s="25" t="s">
        <v>4</v>
      </c>
      <c r="C4" s="26" t="s">
        <v>6</v>
      </c>
      <c r="D4" s="26" t="s">
        <v>7</v>
      </c>
      <c r="E4" s="27" t="s">
        <v>8</v>
      </c>
      <c r="F4" s="21"/>
    </row>
    <row r="5" spans="1:11" ht="15.75" customHeight="1" thickBot="1" x14ac:dyDescent="0.35">
      <c r="A5" s="146"/>
      <c r="B5" s="28" t="s">
        <v>5</v>
      </c>
      <c r="C5" s="29" t="s">
        <v>28</v>
      </c>
      <c r="D5" s="29" t="s">
        <v>29</v>
      </c>
      <c r="E5" s="30" t="s">
        <v>30</v>
      </c>
      <c r="F5" s="21"/>
    </row>
    <row r="6" spans="1:11" ht="3.75" customHeight="1" thickBot="1" x14ac:dyDescent="0.35">
      <c r="A6" s="81"/>
      <c r="B6" s="31"/>
      <c r="C6" s="32"/>
      <c r="D6" s="32"/>
      <c r="E6" s="32"/>
      <c r="F6" s="21"/>
    </row>
    <row r="7" spans="1:11" ht="32.25" customHeight="1" x14ac:dyDescent="0.3">
      <c r="A7" s="114" t="s">
        <v>120</v>
      </c>
      <c r="B7" s="153" t="s">
        <v>25</v>
      </c>
      <c r="C7" s="155" t="s">
        <v>44</v>
      </c>
      <c r="D7" s="157" t="s">
        <v>89</v>
      </c>
      <c r="E7" s="54" t="s">
        <v>32</v>
      </c>
      <c r="F7" s="159" t="s">
        <v>97</v>
      </c>
      <c r="G7" s="21"/>
      <c r="H7" s="202" t="s">
        <v>111</v>
      </c>
      <c r="I7" s="203"/>
      <c r="J7" s="203"/>
      <c r="K7" s="204"/>
    </row>
    <row r="8" spans="1:11" ht="15" thickBot="1" x14ac:dyDescent="0.35">
      <c r="A8" s="140"/>
      <c r="B8" s="154"/>
      <c r="C8" s="156"/>
      <c r="D8" s="158"/>
      <c r="E8" s="55" t="s">
        <v>10</v>
      </c>
      <c r="F8" s="160"/>
      <c r="G8" s="21"/>
      <c r="H8" s="205"/>
      <c r="I8" s="206"/>
      <c r="J8" s="206"/>
      <c r="K8" s="207"/>
    </row>
    <row r="9" spans="1:11" ht="4.5" customHeight="1" thickBot="1" x14ac:dyDescent="0.35">
      <c r="A9" s="82"/>
      <c r="B9" s="33"/>
      <c r="C9" s="33"/>
      <c r="D9" s="33"/>
      <c r="E9" s="34"/>
      <c r="F9" s="21"/>
      <c r="G9" s="21"/>
      <c r="H9" s="21"/>
      <c r="I9" s="21"/>
    </row>
    <row r="10" spans="1:11" ht="19.5" customHeight="1" x14ac:dyDescent="0.3">
      <c r="A10" s="139" t="s">
        <v>121</v>
      </c>
      <c r="B10" s="161" t="s">
        <v>25</v>
      </c>
      <c r="C10" s="164" t="s">
        <v>26</v>
      </c>
      <c r="D10" s="166" t="s">
        <v>90</v>
      </c>
      <c r="E10" s="56" t="s">
        <v>27</v>
      </c>
      <c r="F10" s="159" t="s">
        <v>96</v>
      </c>
      <c r="G10" s="21"/>
      <c r="H10" s="192" t="s">
        <v>108</v>
      </c>
      <c r="I10" s="193"/>
      <c r="J10" s="193"/>
      <c r="K10" s="194"/>
    </row>
    <row r="11" spans="1:11" ht="15" customHeight="1" x14ac:dyDescent="0.3">
      <c r="A11" s="115"/>
      <c r="B11" s="162"/>
      <c r="C11" s="164"/>
      <c r="D11" s="167"/>
      <c r="E11" s="57" t="s">
        <v>11</v>
      </c>
      <c r="F11" s="169"/>
      <c r="G11" s="21"/>
      <c r="H11" s="195"/>
      <c r="I11" s="196"/>
      <c r="J11" s="196"/>
      <c r="K11" s="197"/>
    </row>
    <row r="12" spans="1:11" ht="18" customHeight="1" x14ac:dyDescent="0.3">
      <c r="A12" s="115"/>
      <c r="B12" s="162"/>
      <c r="C12" s="164"/>
      <c r="D12" s="167"/>
      <c r="E12" s="57" t="s">
        <v>12</v>
      </c>
      <c r="F12" s="169"/>
      <c r="G12" s="21"/>
      <c r="H12" s="195"/>
      <c r="I12" s="196"/>
      <c r="J12" s="196"/>
      <c r="K12" s="197"/>
    </row>
    <row r="13" spans="1:11" ht="29.4" thickBot="1" x14ac:dyDescent="0.35">
      <c r="A13" s="116"/>
      <c r="B13" s="163"/>
      <c r="C13" s="165"/>
      <c r="D13" s="168"/>
      <c r="E13" s="58" t="s">
        <v>45</v>
      </c>
      <c r="F13" s="160"/>
      <c r="G13" s="21"/>
      <c r="H13" s="198"/>
      <c r="I13" s="199"/>
      <c r="J13" s="199"/>
      <c r="K13" s="200"/>
    </row>
    <row r="14" spans="1:11" ht="4.5" customHeight="1" thickBot="1" x14ac:dyDescent="0.35">
      <c r="A14" s="82"/>
      <c r="B14" s="33"/>
      <c r="C14" s="33"/>
      <c r="D14" s="33"/>
      <c r="E14" s="34"/>
      <c r="F14" s="21"/>
      <c r="G14" s="21"/>
      <c r="H14" s="21"/>
      <c r="I14" s="21"/>
    </row>
    <row r="15" spans="1:11" ht="19.5" customHeight="1" x14ac:dyDescent="0.3">
      <c r="A15" s="114" t="s">
        <v>122</v>
      </c>
      <c r="B15" s="170" t="s">
        <v>25</v>
      </c>
      <c r="C15" s="175" t="s">
        <v>13</v>
      </c>
      <c r="D15" s="153" t="s">
        <v>90</v>
      </c>
      <c r="E15" s="54" t="s">
        <v>21</v>
      </c>
      <c r="F15" s="159" t="s">
        <v>98</v>
      </c>
      <c r="G15" s="21"/>
      <c r="H15" s="202" t="s">
        <v>112</v>
      </c>
      <c r="I15" s="203"/>
      <c r="J15" s="203"/>
      <c r="K15" s="204"/>
    </row>
    <row r="16" spans="1:11" x14ac:dyDescent="0.3">
      <c r="A16" s="115"/>
      <c r="B16" s="171"/>
      <c r="C16" s="164"/>
      <c r="D16" s="176"/>
      <c r="E16" s="57" t="s">
        <v>34</v>
      </c>
      <c r="F16" s="169"/>
      <c r="G16" s="21"/>
      <c r="H16" s="208"/>
      <c r="I16" s="209"/>
      <c r="J16" s="209"/>
      <c r="K16" s="210"/>
    </row>
    <row r="17" spans="1:11" ht="19.5" customHeight="1" x14ac:dyDescent="0.3">
      <c r="A17" s="115"/>
      <c r="B17" s="171"/>
      <c r="C17" s="164"/>
      <c r="D17" s="176"/>
      <c r="E17" s="57" t="s">
        <v>31</v>
      </c>
      <c r="F17" s="169"/>
      <c r="G17" s="21"/>
      <c r="H17" s="208"/>
      <c r="I17" s="209"/>
      <c r="J17" s="209"/>
      <c r="K17" s="210"/>
    </row>
    <row r="18" spans="1:11" ht="15" thickBot="1" x14ac:dyDescent="0.35">
      <c r="A18" s="116"/>
      <c r="B18" s="172"/>
      <c r="C18" s="165"/>
      <c r="D18" s="177"/>
      <c r="E18" s="58" t="s">
        <v>33</v>
      </c>
      <c r="F18" s="160"/>
      <c r="G18" s="21"/>
      <c r="H18" s="205"/>
      <c r="I18" s="206"/>
      <c r="J18" s="206"/>
      <c r="K18" s="207"/>
    </row>
    <row r="19" spans="1:11" ht="4.5" customHeight="1" thickBot="1" x14ac:dyDescent="0.35">
      <c r="A19" s="82"/>
      <c r="B19" s="33"/>
      <c r="C19" s="33"/>
      <c r="D19" s="33"/>
      <c r="E19" s="34"/>
      <c r="F19" s="21"/>
      <c r="G19" s="21"/>
      <c r="H19" s="21"/>
      <c r="I19" s="21"/>
    </row>
    <row r="20" spans="1:11" ht="18.75" customHeight="1" x14ac:dyDescent="0.3">
      <c r="A20" s="114" t="s">
        <v>123</v>
      </c>
      <c r="B20" s="170" t="s">
        <v>25</v>
      </c>
      <c r="C20" s="60" t="s">
        <v>35</v>
      </c>
      <c r="D20" s="178" t="s">
        <v>46</v>
      </c>
      <c r="E20" s="181" t="s">
        <v>59</v>
      </c>
      <c r="F20" s="159" t="s">
        <v>99</v>
      </c>
      <c r="G20" s="21"/>
      <c r="H20" s="192" t="s">
        <v>113</v>
      </c>
      <c r="I20" s="193"/>
      <c r="J20" s="193"/>
      <c r="K20" s="194"/>
    </row>
    <row r="21" spans="1:11" ht="18.75" customHeight="1" x14ac:dyDescent="0.3">
      <c r="A21" s="115"/>
      <c r="B21" s="171"/>
      <c r="C21" s="61" t="s">
        <v>22</v>
      </c>
      <c r="D21" s="179"/>
      <c r="E21" s="182"/>
      <c r="F21" s="169"/>
      <c r="G21" s="21"/>
      <c r="H21" s="195"/>
      <c r="I21" s="196"/>
      <c r="J21" s="196"/>
      <c r="K21" s="197"/>
    </row>
    <row r="22" spans="1:11" ht="18" customHeight="1" thickBot="1" x14ac:dyDescent="0.35">
      <c r="A22" s="116"/>
      <c r="B22" s="172"/>
      <c r="C22" s="62" t="s">
        <v>58</v>
      </c>
      <c r="D22" s="180"/>
      <c r="E22" s="183"/>
      <c r="F22" s="160"/>
      <c r="G22" s="21"/>
      <c r="H22" s="198"/>
      <c r="I22" s="199"/>
      <c r="J22" s="199"/>
      <c r="K22" s="200"/>
    </row>
    <row r="23" spans="1:11" ht="4.5" customHeight="1" thickBot="1" x14ac:dyDescent="0.35">
      <c r="A23" s="82"/>
      <c r="B23" s="33"/>
      <c r="C23" s="33"/>
      <c r="D23" s="33"/>
      <c r="E23" s="34"/>
      <c r="F23" s="21"/>
      <c r="G23" s="21"/>
      <c r="H23" s="21"/>
      <c r="I23" s="21"/>
    </row>
    <row r="24" spans="1:11" ht="18.75" customHeight="1" x14ac:dyDescent="0.3">
      <c r="A24" s="139" t="s">
        <v>124</v>
      </c>
      <c r="B24" s="161" t="s">
        <v>25</v>
      </c>
      <c r="C24" s="63" t="s">
        <v>70</v>
      </c>
      <c r="D24" s="166" t="s">
        <v>90</v>
      </c>
      <c r="E24" s="64" t="s">
        <v>19</v>
      </c>
      <c r="F24" s="159" t="s">
        <v>97</v>
      </c>
      <c r="G24" s="21"/>
      <c r="H24" s="202" t="s">
        <v>109</v>
      </c>
      <c r="I24" s="203"/>
      <c r="J24" s="203"/>
      <c r="K24" s="204"/>
    </row>
    <row r="25" spans="1:11" ht="32.25" customHeight="1" x14ac:dyDescent="0.3">
      <c r="A25" s="115"/>
      <c r="B25" s="171"/>
      <c r="C25" s="65" t="s">
        <v>47</v>
      </c>
      <c r="D25" s="173"/>
      <c r="E25" s="66" t="s">
        <v>73</v>
      </c>
      <c r="F25" s="169"/>
      <c r="G25" s="21"/>
      <c r="H25" s="208"/>
      <c r="I25" s="209"/>
      <c r="J25" s="209"/>
      <c r="K25" s="210"/>
    </row>
    <row r="26" spans="1:11" ht="34.5" customHeight="1" x14ac:dyDescent="0.3">
      <c r="A26" s="115"/>
      <c r="B26" s="171"/>
      <c r="C26" s="65" t="s">
        <v>81</v>
      </c>
      <c r="D26" s="173"/>
      <c r="E26" s="66" t="s">
        <v>74</v>
      </c>
      <c r="F26" s="169"/>
      <c r="G26" s="21"/>
      <c r="H26" s="208"/>
      <c r="I26" s="209"/>
      <c r="J26" s="209"/>
      <c r="K26" s="210"/>
    </row>
    <row r="27" spans="1:11" ht="18.75" customHeight="1" x14ac:dyDescent="0.3">
      <c r="A27" s="115"/>
      <c r="B27" s="171"/>
      <c r="C27" s="65" t="s">
        <v>72</v>
      </c>
      <c r="D27" s="173"/>
      <c r="E27" s="185" t="s">
        <v>75</v>
      </c>
      <c r="F27" s="169"/>
      <c r="G27" s="21"/>
      <c r="H27" s="208"/>
      <c r="I27" s="209"/>
      <c r="J27" s="209"/>
      <c r="K27" s="210"/>
    </row>
    <row r="28" spans="1:11" ht="60" customHeight="1" thickBot="1" x14ac:dyDescent="0.35">
      <c r="A28" s="140"/>
      <c r="B28" s="184"/>
      <c r="C28" s="67" t="s">
        <v>71</v>
      </c>
      <c r="D28" s="158"/>
      <c r="E28" s="186"/>
      <c r="F28" s="160"/>
      <c r="G28" s="21"/>
      <c r="H28" s="205"/>
      <c r="I28" s="206"/>
      <c r="J28" s="206"/>
      <c r="K28" s="207"/>
    </row>
    <row r="29" spans="1:11" ht="4.5" customHeight="1" thickBot="1" x14ac:dyDescent="0.35">
      <c r="A29" s="82"/>
      <c r="B29" s="33"/>
      <c r="C29" s="33"/>
      <c r="D29" s="33"/>
      <c r="E29" s="34"/>
      <c r="F29" s="21"/>
      <c r="G29" s="21"/>
      <c r="H29" s="21"/>
      <c r="I29" s="21"/>
    </row>
    <row r="30" spans="1:11" ht="20.25" customHeight="1" x14ac:dyDescent="0.3">
      <c r="A30" s="114" t="s">
        <v>125</v>
      </c>
      <c r="B30" s="170" t="s">
        <v>25</v>
      </c>
      <c r="C30" s="68" t="s">
        <v>38</v>
      </c>
      <c r="D30" s="157" t="s">
        <v>90</v>
      </c>
      <c r="E30" s="54" t="s">
        <v>60</v>
      </c>
      <c r="F30" s="159" t="s">
        <v>97</v>
      </c>
      <c r="H30" s="192" t="s">
        <v>114</v>
      </c>
      <c r="I30" s="193"/>
      <c r="J30" s="193"/>
      <c r="K30" s="194"/>
    </row>
    <row r="31" spans="1:11" ht="21" customHeight="1" x14ac:dyDescent="0.3">
      <c r="A31" s="115"/>
      <c r="B31" s="171"/>
      <c r="C31" s="65" t="s">
        <v>39</v>
      </c>
      <c r="D31" s="173"/>
      <c r="E31" s="57" t="s">
        <v>23</v>
      </c>
      <c r="F31" s="169"/>
      <c r="H31" s="195"/>
      <c r="I31" s="196"/>
      <c r="J31" s="196"/>
      <c r="K31" s="197"/>
    </row>
    <row r="32" spans="1:11" ht="21" customHeight="1" x14ac:dyDescent="0.3">
      <c r="A32" s="115"/>
      <c r="B32" s="171"/>
      <c r="C32" s="65" t="s">
        <v>40</v>
      </c>
      <c r="D32" s="173"/>
      <c r="E32" s="57" t="s">
        <v>24</v>
      </c>
      <c r="F32" s="169"/>
      <c r="H32" s="195"/>
      <c r="I32" s="196"/>
      <c r="J32" s="196"/>
      <c r="K32" s="197"/>
    </row>
    <row r="33" spans="1:11" ht="15" thickBot="1" x14ac:dyDescent="0.35">
      <c r="A33" s="116"/>
      <c r="B33" s="172"/>
      <c r="C33" s="69" t="s">
        <v>41</v>
      </c>
      <c r="D33" s="174"/>
      <c r="E33" s="58" t="s">
        <v>43</v>
      </c>
      <c r="F33" s="160"/>
      <c r="H33" s="198"/>
      <c r="I33" s="199"/>
      <c r="J33" s="199"/>
      <c r="K33" s="200"/>
    </row>
    <row r="34" spans="1:11" ht="3.75" customHeight="1" thickBot="1" x14ac:dyDescent="0.35">
      <c r="A34" s="81"/>
      <c r="B34" s="31"/>
      <c r="C34" s="32"/>
      <c r="D34" s="32"/>
      <c r="E34" s="32"/>
      <c r="F34" s="21"/>
    </row>
    <row r="35" spans="1:11" ht="28.5" customHeight="1" thickBot="1" x14ac:dyDescent="0.35">
      <c r="A35" s="83"/>
      <c r="B35" s="43"/>
      <c r="C35" s="44"/>
      <c r="D35" s="45"/>
      <c r="E35" s="42" t="s">
        <v>92</v>
      </c>
      <c r="F35" s="35">
        <f>COUNTIF(F7:F33,"S")*0.375 + COUNTIF(F7:F33,"G")*0.55 + COUNTIF(F7:F33,"E")*0.75</f>
        <v>1.675</v>
      </c>
      <c r="G35" s="36" t="s">
        <v>91</v>
      </c>
      <c r="H35" s="37">
        <f>6*0.75</f>
        <v>4.5</v>
      </c>
    </row>
    <row r="36" spans="1:11" ht="4.5" customHeight="1" thickBot="1" x14ac:dyDescent="0.35">
      <c r="A36" s="81"/>
      <c r="B36" s="31"/>
      <c r="C36" s="32"/>
      <c r="D36" s="32"/>
      <c r="E36" s="32"/>
      <c r="F36" s="21"/>
    </row>
    <row r="37" spans="1:11" ht="39" customHeight="1" thickBot="1" x14ac:dyDescent="0.35">
      <c r="A37" s="99" t="s">
        <v>87</v>
      </c>
      <c r="B37" s="100"/>
      <c r="C37" s="100"/>
      <c r="D37" s="100"/>
      <c r="E37" s="101"/>
      <c r="F37" s="21"/>
    </row>
    <row r="38" spans="1:11" ht="15" customHeight="1" x14ac:dyDescent="0.3">
      <c r="A38" s="145" t="s">
        <v>3</v>
      </c>
      <c r="B38" s="25" t="s">
        <v>4</v>
      </c>
      <c r="C38" s="26" t="s">
        <v>6</v>
      </c>
      <c r="D38" s="26" t="s">
        <v>7</v>
      </c>
      <c r="E38" s="27" t="s">
        <v>8</v>
      </c>
      <c r="F38" s="21"/>
    </row>
    <row r="39" spans="1:11" ht="15.75" customHeight="1" thickBot="1" x14ac:dyDescent="0.35">
      <c r="A39" s="146"/>
      <c r="B39" s="28" t="s">
        <v>5</v>
      </c>
      <c r="C39" s="29" t="s">
        <v>28</v>
      </c>
      <c r="D39" s="29" t="s">
        <v>29</v>
      </c>
      <c r="E39" s="30" t="s">
        <v>30</v>
      </c>
      <c r="F39" s="21"/>
    </row>
    <row r="40" spans="1:11" ht="3.75" customHeight="1" thickBot="1" x14ac:dyDescent="0.35">
      <c r="A40" s="81"/>
      <c r="B40" s="31"/>
      <c r="C40" s="32"/>
      <c r="D40" s="32"/>
      <c r="E40" s="32"/>
      <c r="F40" s="21"/>
    </row>
    <row r="41" spans="1:11" ht="33" customHeight="1" x14ac:dyDescent="0.3">
      <c r="A41" s="111" t="s">
        <v>126</v>
      </c>
      <c r="B41" s="170" t="s">
        <v>25</v>
      </c>
      <c r="C41" s="60" t="s">
        <v>57</v>
      </c>
      <c r="D41" s="157" t="s">
        <v>90</v>
      </c>
      <c r="E41" s="70" t="s">
        <v>77</v>
      </c>
      <c r="F41" s="159" t="s">
        <v>96</v>
      </c>
      <c r="H41" s="202" t="s">
        <v>115</v>
      </c>
      <c r="I41" s="203"/>
      <c r="J41" s="203"/>
      <c r="K41" s="204"/>
    </row>
    <row r="42" spans="1:11" ht="33" customHeight="1" x14ac:dyDescent="0.3">
      <c r="A42" s="112"/>
      <c r="B42" s="171"/>
      <c r="C42" s="61" t="s">
        <v>17</v>
      </c>
      <c r="D42" s="173"/>
      <c r="E42" s="71" t="s">
        <v>61</v>
      </c>
      <c r="F42" s="169"/>
      <c r="H42" s="208"/>
      <c r="I42" s="209"/>
      <c r="J42" s="209"/>
      <c r="K42" s="210"/>
    </row>
    <row r="43" spans="1:11" ht="28.8" x14ac:dyDescent="0.3">
      <c r="A43" s="112"/>
      <c r="B43" s="171"/>
      <c r="C43" s="61" t="s">
        <v>76</v>
      </c>
      <c r="D43" s="173"/>
      <c r="E43" s="187" t="s">
        <v>18</v>
      </c>
      <c r="F43" s="169"/>
      <c r="H43" s="208"/>
      <c r="I43" s="209"/>
      <c r="J43" s="209"/>
      <c r="K43" s="210"/>
    </row>
    <row r="44" spans="1:11" ht="15" thickBot="1" x14ac:dyDescent="0.35">
      <c r="A44" s="113"/>
      <c r="B44" s="172"/>
      <c r="C44" s="62" t="s">
        <v>42</v>
      </c>
      <c r="D44" s="174"/>
      <c r="E44" s="188"/>
      <c r="F44" s="160"/>
      <c r="H44" s="205"/>
      <c r="I44" s="206"/>
      <c r="J44" s="206"/>
      <c r="K44" s="207"/>
    </row>
    <row r="45" spans="1:11" ht="4.5" customHeight="1" thickBot="1" x14ac:dyDescent="0.35">
      <c r="A45" s="82"/>
      <c r="B45" s="33"/>
      <c r="C45" s="33"/>
      <c r="D45" s="33"/>
      <c r="E45" s="34"/>
      <c r="F45" s="21"/>
      <c r="G45" s="21"/>
      <c r="H45" s="21"/>
      <c r="I45" s="21"/>
    </row>
    <row r="46" spans="1:11" ht="34.5" customHeight="1" x14ac:dyDescent="0.3">
      <c r="A46" s="111" t="s">
        <v>127</v>
      </c>
      <c r="B46" s="170" t="s">
        <v>25</v>
      </c>
      <c r="C46" s="68" t="s">
        <v>48</v>
      </c>
      <c r="D46" s="157" t="s">
        <v>90</v>
      </c>
      <c r="E46" s="70" t="s">
        <v>50</v>
      </c>
      <c r="F46" s="159" t="s">
        <v>97</v>
      </c>
      <c r="G46" s="21"/>
      <c r="H46" s="202" t="s">
        <v>110</v>
      </c>
      <c r="I46" s="203"/>
      <c r="J46" s="203"/>
      <c r="K46" s="204"/>
    </row>
    <row r="47" spans="1:11" x14ac:dyDescent="0.3">
      <c r="A47" s="112"/>
      <c r="B47" s="171"/>
      <c r="C47" s="190" t="s">
        <v>36</v>
      </c>
      <c r="D47" s="173"/>
      <c r="E47" s="72" t="s">
        <v>51</v>
      </c>
      <c r="F47" s="169"/>
      <c r="G47" s="21"/>
      <c r="H47" s="208"/>
      <c r="I47" s="209"/>
      <c r="J47" s="209"/>
      <c r="K47" s="210"/>
    </row>
    <row r="48" spans="1:11" ht="28.8" x14ac:dyDescent="0.3">
      <c r="A48" s="112"/>
      <c r="B48" s="171"/>
      <c r="C48" s="156"/>
      <c r="D48" s="173"/>
      <c r="E48" s="72" t="s">
        <v>49</v>
      </c>
      <c r="F48" s="169"/>
      <c r="G48" s="21"/>
      <c r="H48" s="208"/>
      <c r="I48" s="209"/>
      <c r="J48" s="209"/>
      <c r="K48" s="210"/>
    </row>
    <row r="49" spans="1:11" ht="29.4" thickBot="1" x14ac:dyDescent="0.35">
      <c r="A49" s="113"/>
      <c r="B49" s="172"/>
      <c r="C49" s="191"/>
      <c r="D49" s="174"/>
      <c r="E49" s="74" t="s">
        <v>78</v>
      </c>
      <c r="F49" s="160"/>
      <c r="G49" s="21"/>
      <c r="H49" s="205"/>
      <c r="I49" s="206"/>
      <c r="J49" s="206"/>
      <c r="K49" s="207"/>
    </row>
    <row r="50" spans="1:11" ht="4.5" customHeight="1" thickBot="1" x14ac:dyDescent="0.35">
      <c r="A50" s="82"/>
      <c r="B50" s="33"/>
      <c r="C50" s="33"/>
      <c r="D50" s="33"/>
      <c r="E50" s="34"/>
      <c r="F50" s="21"/>
      <c r="G50" s="21"/>
      <c r="H50" s="21"/>
      <c r="I50" s="21"/>
    </row>
    <row r="51" spans="1:11" x14ac:dyDescent="0.3">
      <c r="A51" s="111" t="s">
        <v>128</v>
      </c>
      <c r="B51" s="170" t="s">
        <v>25</v>
      </c>
      <c r="C51" s="60" t="s">
        <v>80</v>
      </c>
      <c r="D51" s="153" t="s">
        <v>90</v>
      </c>
      <c r="E51" s="70" t="s">
        <v>62</v>
      </c>
      <c r="F51" s="159" t="s">
        <v>99</v>
      </c>
      <c r="H51" s="192" t="s">
        <v>8</v>
      </c>
      <c r="I51" s="193"/>
      <c r="J51" s="193"/>
      <c r="K51" s="194"/>
    </row>
    <row r="52" spans="1:11" ht="17.25" customHeight="1" x14ac:dyDescent="0.3">
      <c r="A52" s="112"/>
      <c r="B52" s="171"/>
      <c r="C52" s="61" t="s">
        <v>79</v>
      </c>
      <c r="D52" s="176"/>
      <c r="E52" s="72" t="s">
        <v>37</v>
      </c>
      <c r="F52" s="169"/>
      <c r="H52" s="195"/>
      <c r="I52" s="196"/>
      <c r="J52" s="196"/>
      <c r="K52" s="197"/>
    </row>
    <row r="53" spans="1:11" ht="18.75" customHeight="1" x14ac:dyDescent="0.3">
      <c r="A53" s="112"/>
      <c r="B53" s="171"/>
      <c r="C53" s="80"/>
      <c r="D53" s="176"/>
      <c r="E53" s="72" t="s">
        <v>82</v>
      </c>
      <c r="F53" s="169"/>
      <c r="H53" s="195"/>
      <c r="I53" s="196"/>
      <c r="J53" s="196"/>
      <c r="K53" s="197"/>
    </row>
    <row r="54" spans="1:11" ht="43.8" thickBot="1" x14ac:dyDescent="0.35">
      <c r="A54" s="113"/>
      <c r="B54" s="172"/>
      <c r="C54" s="78"/>
      <c r="D54" s="177"/>
      <c r="E54" s="74" t="s">
        <v>63</v>
      </c>
      <c r="F54" s="160"/>
      <c r="H54" s="198"/>
      <c r="I54" s="199"/>
      <c r="J54" s="199"/>
      <c r="K54" s="200"/>
    </row>
    <row r="55" spans="1:11" ht="4.5" customHeight="1" thickBot="1" x14ac:dyDescent="0.35">
      <c r="A55" s="82"/>
      <c r="B55" s="33"/>
      <c r="C55" s="33"/>
      <c r="D55" s="33"/>
      <c r="E55" s="34"/>
      <c r="F55" s="21"/>
      <c r="G55" s="21"/>
      <c r="H55" s="21"/>
      <c r="I55" s="21"/>
    </row>
    <row r="56" spans="1:11" ht="20.25" customHeight="1" x14ac:dyDescent="0.3">
      <c r="A56" s="111" t="s">
        <v>129</v>
      </c>
      <c r="B56" s="170" t="s">
        <v>25</v>
      </c>
      <c r="C56" s="59" t="s">
        <v>54</v>
      </c>
      <c r="D56" s="153" t="s">
        <v>90</v>
      </c>
      <c r="E56" s="70" t="s">
        <v>55</v>
      </c>
      <c r="F56" s="159" t="s">
        <v>99</v>
      </c>
      <c r="H56" s="192" t="s">
        <v>8</v>
      </c>
      <c r="I56" s="193"/>
      <c r="J56" s="193"/>
      <c r="K56" s="194"/>
    </row>
    <row r="57" spans="1:11" ht="19.5" customHeight="1" x14ac:dyDescent="0.3">
      <c r="A57" s="112"/>
      <c r="B57" s="162"/>
      <c r="C57" s="67"/>
      <c r="D57" s="201"/>
      <c r="E57" s="72" t="s">
        <v>64</v>
      </c>
      <c r="F57" s="169"/>
      <c r="H57" s="195"/>
      <c r="I57" s="196"/>
      <c r="J57" s="196"/>
      <c r="K57" s="197"/>
    </row>
    <row r="58" spans="1:11" ht="18.75" customHeight="1" thickBot="1" x14ac:dyDescent="0.35">
      <c r="A58" s="113"/>
      <c r="B58" s="163"/>
      <c r="C58" s="73"/>
      <c r="D58" s="189"/>
      <c r="E58" s="74" t="s">
        <v>56</v>
      </c>
      <c r="F58" s="160"/>
      <c r="H58" s="198"/>
      <c r="I58" s="199"/>
      <c r="J58" s="199"/>
      <c r="K58" s="200"/>
    </row>
    <row r="59" spans="1:11" ht="4.5" customHeight="1" thickBot="1" x14ac:dyDescent="0.35">
      <c r="A59" s="82"/>
      <c r="B59" s="33"/>
      <c r="C59" s="33"/>
      <c r="D59" s="33"/>
      <c r="E59" s="34"/>
      <c r="F59" s="21"/>
      <c r="G59" s="21"/>
      <c r="H59" s="21"/>
      <c r="I59" s="21"/>
    </row>
    <row r="60" spans="1:11" ht="21" customHeight="1" x14ac:dyDescent="0.3">
      <c r="A60" s="111" t="s">
        <v>130</v>
      </c>
      <c r="B60" s="170" t="s">
        <v>25</v>
      </c>
      <c r="C60" s="60" t="s">
        <v>15</v>
      </c>
      <c r="D60" s="153" t="s">
        <v>90</v>
      </c>
      <c r="E60" s="70" t="s">
        <v>20</v>
      </c>
      <c r="F60" s="159" t="s">
        <v>96</v>
      </c>
      <c r="H60" s="202" t="s">
        <v>116</v>
      </c>
      <c r="I60" s="203"/>
      <c r="J60" s="203"/>
      <c r="K60" s="204"/>
    </row>
    <row r="61" spans="1:11" ht="45.75" customHeight="1" x14ac:dyDescent="0.3">
      <c r="A61" s="112"/>
      <c r="B61" s="171"/>
      <c r="C61" s="75" t="s">
        <v>16</v>
      </c>
      <c r="D61" s="176"/>
      <c r="E61" s="71" t="s">
        <v>83</v>
      </c>
      <c r="F61" s="169"/>
      <c r="H61" s="208"/>
      <c r="I61" s="209"/>
      <c r="J61" s="209"/>
      <c r="K61" s="210"/>
    </row>
    <row r="62" spans="1:11" ht="15" thickBot="1" x14ac:dyDescent="0.35">
      <c r="A62" s="113"/>
      <c r="B62" s="163"/>
      <c r="C62" s="62"/>
      <c r="D62" s="189"/>
      <c r="E62" s="79" t="s">
        <v>65</v>
      </c>
      <c r="F62" s="160"/>
      <c r="H62" s="205"/>
      <c r="I62" s="206"/>
      <c r="J62" s="206"/>
      <c r="K62" s="207"/>
    </row>
    <row r="63" spans="1:11" ht="5.25" customHeight="1" thickBot="1" x14ac:dyDescent="0.35">
      <c r="A63" s="81"/>
      <c r="B63" s="31"/>
      <c r="C63" s="32"/>
      <c r="D63" s="32"/>
      <c r="E63" s="32"/>
      <c r="F63" s="21"/>
    </row>
    <row r="64" spans="1:11" ht="28.5" customHeight="1" thickBot="1" x14ac:dyDescent="0.35">
      <c r="A64" s="83"/>
      <c r="B64" s="43"/>
      <c r="C64" s="44"/>
      <c r="D64" s="45"/>
      <c r="E64" s="42" t="s">
        <v>92</v>
      </c>
      <c r="F64" s="35">
        <f>COUNTIF(F41:F62,"S")*0.375 + COUNTIF(F41:F62,"G")*0.55 + COUNTIF(F41:F62,"E")*0.75</f>
        <v>2.25</v>
      </c>
      <c r="G64" s="36" t="s">
        <v>91</v>
      </c>
      <c r="H64" s="37">
        <f>5*0.75</f>
        <v>3.75</v>
      </c>
    </row>
    <row r="65" spans="1:11" ht="4.5" customHeight="1" thickBot="1" x14ac:dyDescent="0.35">
      <c r="A65" s="81"/>
      <c r="B65" s="31"/>
      <c r="C65" s="32"/>
      <c r="D65" s="32"/>
      <c r="E65" s="32"/>
      <c r="F65" s="21"/>
    </row>
    <row r="66" spans="1:11" ht="39" customHeight="1" thickBot="1" x14ac:dyDescent="0.35">
      <c r="A66" s="128" t="s">
        <v>88</v>
      </c>
      <c r="B66" s="129"/>
      <c r="C66" s="129"/>
      <c r="D66" s="129"/>
      <c r="E66" s="130"/>
      <c r="F66" s="21"/>
    </row>
    <row r="67" spans="1:11" ht="15" customHeight="1" x14ac:dyDescent="0.3">
      <c r="A67" s="131" t="s">
        <v>3</v>
      </c>
      <c r="B67" s="38" t="s">
        <v>4</v>
      </c>
      <c r="C67" s="39" t="s">
        <v>6</v>
      </c>
      <c r="D67" s="39" t="s">
        <v>7</v>
      </c>
      <c r="E67" s="39" t="s">
        <v>8</v>
      </c>
      <c r="F67" s="21"/>
    </row>
    <row r="68" spans="1:11" ht="15" customHeight="1" x14ac:dyDescent="0.3">
      <c r="A68" s="131"/>
      <c r="B68" s="40" t="s">
        <v>5</v>
      </c>
      <c r="C68" s="41" t="s">
        <v>28</v>
      </c>
      <c r="D68" s="41" t="s">
        <v>29</v>
      </c>
      <c r="E68" s="41" t="s">
        <v>30</v>
      </c>
      <c r="F68" s="21"/>
    </row>
    <row r="69" spans="1:11" ht="5.25" customHeight="1" thickBot="1" x14ac:dyDescent="0.35">
      <c r="A69" s="81"/>
      <c r="B69" s="31"/>
      <c r="C69" s="32"/>
      <c r="D69" s="32"/>
      <c r="E69" s="32"/>
      <c r="F69" s="21"/>
    </row>
    <row r="70" spans="1:11" ht="28.8" x14ac:dyDescent="0.3">
      <c r="A70" s="121" t="s">
        <v>131</v>
      </c>
      <c r="B70" s="170" t="s">
        <v>25</v>
      </c>
      <c r="C70" s="60" t="s">
        <v>52</v>
      </c>
      <c r="D70" s="153" t="s">
        <v>90</v>
      </c>
      <c r="E70" s="70" t="s">
        <v>14</v>
      </c>
      <c r="F70" s="159" t="s">
        <v>99</v>
      </c>
      <c r="G70" s="21"/>
      <c r="H70" s="192" t="s">
        <v>117</v>
      </c>
      <c r="I70" s="193"/>
      <c r="J70" s="193"/>
      <c r="K70" s="194"/>
    </row>
    <row r="71" spans="1:11" x14ac:dyDescent="0.3">
      <c r="A71" s="122"/>
      <c r="B71" s="171"/>
      <c r="C71" s="76" t="s">
        <v>53</v>
      </c>
      <c r="D71" s="176"/>
      <c r="E71" s="72" t="s">
        <v>84</v>
      </c>
      <c r="F71" s="169"/>
      <c r="G71" s="21"/>
      <c r="H71" s="195"/>
      <c r="I71" s="196"/>
      <c r="J71" s="196"/>
      <c r="K71" s="197"/>
    </row>
    <row r="72" spans="1:11" x14ac:dyDescent="0.3">
      <c r="A72" s="122"/>
      <c r="B72" s="171"/>
      <c r="C72" s="77"/>
      <c r="D72" s="176"/>
      <c r="E72" s="72" t="s">
        <v>66</v>
      </c>
      <c r="F72" s="169"/>
      <c r="H72" s="195"/>
      <c r="I72" s="196"/>
      <c r="J72" s="196"/>
      <c r="K72" s="197"/>
    </row>
    <row r="73" spans="1:11" ht="29.4" thickBot="1" x14ac:dyDescent="0.35">
      <c r="A73" s="123"/>
      <c r="B73" s="172"/>
      <c r="C73" s="78"/>
      <c r="D73" s="177"/>
      <c r="E73" s="74" t="s">
        <v>85</v>
      </c>
      <c r="F73" s="160"/>
      <c r="H73" s="198"/>
      <c r="I73" s="199"/>
      <c r="J73" s="199"/>
      <c r="K73" s="200"/>
    </row>
    <row r="74" spans="1:11" ht="15" thickBot="1" x14ac:dyDescent="0.35"/>
    <row r="75" spans="1:11" x14ac:dyDescent="0.3">
      <c r="E75" s="93" t="s">
        <v>102</v>
      </c>
      <c r="F75" s="91" t="s">
        <v>101</v>
      </c>
      <c r="J75" s="192" t="s">
        <v>118</v>
      </c>
      <c r="K75" s="194"/>
    </row>
    <row r="76" spans="1:11" ht="15" thickBot="1" x14ac:dyDescent="0.35">
      <c r="E76" s="94"/>
      <c r="F76" s="92"/>
      <c r="J76" s="198"/>
      <c r="K76" s="200"/>
    </row>
    <row r="77" spans="1:11" x14ac:dyDescent="0.3">
      <c r="E77" s="95" t="s">
        <v>106</v>
      </c>
      <c r="F77" s="97">
        <f>COUNTIF(F70,"S")*0.375 + COUNTIF(F70,"G")*0.55 + COUNTIF(F70,"E")*0.75+F64+F35+IF(F75="YES",1,0)</f>
        <v>5.6749999999999998</v>
      </c>
      <c r="G77" s="84" t="s">
        <v>93</v>
      </c>
      <c r="H77" s="86">
        <f>ROUND(F77,0)</f>
        <v>6</v>
      </c>
    </row>
    <row r="78" spans="1:11" ht="15" thickBot="1" x14ac:dyDescent="0.35">
      <c r="E78" s="96"/>
      <c r="F78" s="98">
        <f t="shared" ref="F78" si="0">COUNTIF(F55:F76,"S")*0.375 + COUNTIF(F55:F76,"G")*0.55 + COUNTIF(F55:F76,"E")*0.75</f>
        <v>1.875</v>
      </c>
      <c r="G78" s="85"/>
      <c r="H78" s="87"/>
    </row>
    <row r="80" spans="1:11" x14ac:dyDescent="0.3">
      <c r="E80" s="46" t="s">
        <v>104</v>
      </c>
      <c r="F80" s="47">
        <f xml:space="preserve"> COUNTIF(F41:F62,"I")+COUNTIF(F7:F33,"I")+COUNTIF(F70,"I")++COUNTIF(F75,"NO")</f>
        <v>4</v>
      </c>
    </row>
    <row r="82" spans="5:5" x14ac:dyDescent="0.3">
      <c r="E82" s="211" t="s">
        <v>119</v>
      </c>
    </row>
    <row r="83" spans="5:5" x14ac:dyDescent="0.3">
      <c r="E83" s="212"/>
    </row>
    <row r="84" spans="5:5" x14ac:dyDescent="0.3">
      <c r="E84" s="213"/>
    </row>
  </sheetData>
  <sheetProtection formatCells="0" selectLockedCells="1"/>
  <mergeCells count="82">
    <mergeCell ref="J75:K76"/>
    <mergeCell ref="E82:E84"/>
    <mergeCell ref="H41:K44"/>
    <mergeCell ref="H46:K49"/>
    <mergeCell ref="H51:K54"/>
    <mergeCell ref="H56:K58"/>
    <mergeCell ref="H60:K62"/>
    <mergeCell ref="H70:K73"/>
    <mergeCell ref="F56:F58"/>
    <mergeCell ref="F41:F44"/>
    <mergeCell ref="H7:K8"/>
    <mergeCell ref="H10:K13"/>
    <mergeCell ref="H15:K18"/>
    <mergeCell ref="H20:K22"/>
    <mergeCell ref="H24:K28"/>
    <mergeCell ref="H30:K33"/>
    <mergeCell ref="E75:E76"/>
    <mergeCell ref="F75:F76"/>
    <mergeCell ref="E77:E78"/>
    <mergeCell ref="F77:F78"/>
    <mergeCell ref="G77:G78"/>
    <mergeCell ref="H77:H78"/>
    <mergeCell ref="A66:E66"/>
    <mergeCell ref="A67:A68"/>
    <mergeCell ref="A70:A73"/>
    <mergeCell ref="B70:B73"/>
    <mergeCell ref="D70:D73"/>
    <mergeCell ref="F70:F73"/>
    <mergeCell ref="A56:A58"/>
    <mergeCell ref="B56:B58"/>
    <mergeCell ref="D56:D58"/>
    <mergeCell ref="F60:F62"/>
    <mergeCell ref="A46:A49"/>
    <mergeCell ref="B46:B49"/>
    <mergeCell ref="D46:D49"/>
    <mergeCell ref="F46:F49"/>
    <mergeCell ref="C47:C49"/>
    <mergeCell ref="A51:A54"/>
    <mergeCell ref="B51:B54"/>
    <mergeCell ref="D51:D54"/>
    <mergeCell ref="F51:F54"/>
    <mergeCell ref="A41:A44"/>
    <mergeCell ref="B41:B44"/>
    <mergeCell ref="D41:D44"/>
    <mergeCell ref="E43:E44"/>
    <mergeCell ref="A60:A62"/>
    <mergeCell ref="B60:B62"/>
    <mergeCell ref="D60:D62"/>
    <mergeCell ref="D24:D28"/>
    <mergeCell ref="F24:F28"/>
    <mergeCell ref="E27:E28"/>
    <mergeCell ref="A37:E37"/>
    <mergeCell ref="A38:A39"/>
    <mergeCell ref="A30:A33"/>
    <mergeCell ref="B30:B33"/>
    <mergeCell ref="D30:D33"/>
    <mergeCell ref="F30:F33"/>
    <mergeCell ref="A15:A18"/>
    <mergeCell ref="B15:B18"/>
    <mergeCell ref="C15:C18"/>
    <mergeCell ref="D15:D18"/>
    <mergeCell ref="F15:F18"/>
    <mergeCell ref="A20:A22"/>
    <mergeCell ref="B20:B22"/>
    <mergeCell ref="D20:D22"/>
    <mergeCell ref="E20:E22"/>
    <mergeCell ref="F20:F22"/>
    <mergeCell ref="A24:A28"/>
    <mergeCell ref="B24:B28"/>
    <mergeCell ref="F7:F8"/>
    <mergeCell ref="A10:A13"/>
    <mergeCell ref="B10:B13"/>
    <mergeCell ref="C10:C13"/>
    <mergeCell ref="D10:D13"/>
    <mergeCell ref="F10:F13"/>
    <mergeCell ref="A1:E1"/>
    <mergeCell ref="A3:E3"/>
    <mergeCell ref="A4:A5"/>
    <mergeCell ref="A7:A8"/>
    <mergeCell ref="B7:B8"/>
    <mergeCell ref="C7:C8"/>
    <mergeCell ref="D7:D8"/>
  </mergeCells>
  <conditionalFormatting sqref="F7 F10 F15 F20 F24 F30 F41 F46 F51 F56 F60 F70">
    <cfRule type="cellIs" dxfId="2" priority="3" stopIfTrue="1" operator="equal">
      <formula>"I"</formula>
    </cfRule>
  </conditionalFormatting>
  <conditionalFormatting sqref="F75:F76">
    <cfRule type="cellIs" dxfId="1" priority="2" operator="equal">
      <formula>"NO"</formula>
    </cfRule>
  </conditionalFormatting>
  <conditionalFormatting sqref="F77:F78">
    <cfRule type="expression" dxfId="0" priority="1">
      <formula>(COUNTIF(F41:F62,"I")+COUNTIF(F7:F33,"I")+COUNTIF(F70,"I")+COUNTIF(F75,"NO") &gt; 0)</formula>
    </cfRule>
  </conditionalFormatting>
  <dataValidations disablePrompts="1" count="2">
    <dataValidation type="list" allowBlank="1" showInputMessage="1" showErrorMessage="1" sqref="F75:F76" xr:uid="{7BA1C0F8-8AC9-4C44-B43E-FD70C98CFDB7}">
      <formula1>"YES,NO"</formula1>
    </dataValidation>
    <dataValidation type="list" allowBlank="1" showInputMessage="1" showErrorMessage="1" sqref="F7:F8 F10:F13 F15:F18 F20:F21 F24:F25 F30:F33 F41:F44 F46:F49 F51:F54 F56:F57 F60:F62 F70:F73" xr:uid="{96B3F5A7-8CAA-45BE-9843-36AC8CD427B7}">
      <formula1>"I,S,G,E"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3</vt:i4>
      </vt:variant>
    </vt:vector>
  </HeadingPairs>
  <TitlesOfParts>
    <vt:vector size="3" baseType="lpstr">
      <vt:lpstr>Tab 1 - Requirements check</vt:lpstr>
      <vt:lpstr>Tab 2 - Self assessment</vt:lpstr>
      <vt:lpstr>Tab 3 - Example Self assessment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Wichman</dc:creator>
  <cp:lastModifiedBy>wesley van der gragt</cp:lastModifiedBy>
  <cp:lastPrinted>2025-06-23T12:46:53Z</cp:lastPrinted>
  <dcterms:created xsi:type="dcterms:W3CDTF">2015-06-05T18:19:34Z</dcterms:created>
  <dcterms:modified xsi:type="dcterms:W3CDTF">2025-09-22T11:36:18Z</dcterms:modified>
</cp:coreProperties>
</file>