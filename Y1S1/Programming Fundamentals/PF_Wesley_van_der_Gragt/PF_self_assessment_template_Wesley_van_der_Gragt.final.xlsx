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axionCMGT\2025-2026\Y1S1\Programming Fundamentals\"/>
    </mc:Choice>
  </mc:AlternateContent>
  <xr:revisionPtr revIDLastSave="0" documentId="13_ncr:1_{45E641E8-C65D-4FFC-8F60-B147D9454995}" xr6:coauthVersionLast="47" xr6:coauthVersionMax="47" xr10:uidLastSave="{00000000-0000-0000-0000-000000000000}"/>
  <bookViews>
    <workbookView xWindow="1500" yWindow="1500" windowWidth="23040" windowHeight="13560" xr2:uid="{00000000-000D-0000-FFFF-FFFF00000000}"/>
  </bookViews>
  <sheets>
    <sheet name="Tab 1 - Requirements check" sheetId="10" r:id="rId1"/>
    <sheet name="Tab 2 - Self assessment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9" l="1"/>
  <c r="H53" i="9" s="1"/>
  <c r="F54" i="9"/>
</calcChain>
</file>

<file path=xl/sharedStrings.xml><?xml version="1.0" encoding="utf-8"?>
<sst xmlns="http://schemas.openxmlformats.org/spreadsheetml/2006/main" count="110" uniqueCount="100">
  <si>
    <t>Student masters basic programming skills in C#, including variables, control structures, methods, and classes</t>
  </si>
  <si>
    <t>Learning goal 1: Game creation</t>
  </si>
  <si>
    <t>Learning goal 2: Programming Fundamentals</t>
  </si>
  <si>
    <t>Learning goal 3: Unity Component Programming</t>
  </si>
  <si>
    <t>• Project files and scenes are organized logically.</t>
  </si>
  <si>
    <t>• Game runs correctly as a standalone build.</t>
  </si>
  <si>
    <t>• Game can be restarted without quitting the application.</t>
  </si>
  <si>
    <t>• Code is a direct copy from a tutorial without adaptation.</t>
  </si>
  <si>
    <t>• Code does not compile or run due to basic syntax errors.</t>
  </si>
  <si>
    <t>• Simple expressions and basic data types have been used (float, int, string, bool).</t>
  </si>
  <si>
    <t>• Uses loops (for, while, foreach) to handle repetition.</t>
  </si>
  <si>
    <t>• Writes readable code with consistent formatting and comments where required.</t>
  </si>
  <si>
    <t>• Uses collections with loops to drive spawning and gameplay logic efficiently.</t>
  </si>
  <si>
    <t>• Clear focus on writing multiple small reusable scripts with clear separation of concerns.</t>
  </si>
  <si>
    <t>• Writes reusable methods/functions to avoid duplication with meaningful names.</t>
  </si>
  <si>
    <t>• Uses access modifiers (public, private, etc.) consistently and correctly.</t>
  </si>
  <si>
    <t>• Implements collision handling and detection.</t>
  </si>
  <si>
    <t>• Uses advanced Unity APIs (e.g. NavMesh, new Input System, Materials, Shaders).</t>
  </si>
  <si>
    <t>• Implements robust component initialization and error prevention (e.g. RequireComponent, null-checks).</t>
  </si>
  <si>
    <t>• Maintains data between scenes (persistent objects, DontDestroyOnLoad, scriptable objects).</t>
  </si>
  <si>
    <t>• Creates, initializes and destroys prefabs correctly at runtime.</t>
  </si>
  <si>
    <t>• Applies Unity’s built-in physics components (rigidbodies, colliders, triggers) to achieve basic physics interactions.</t>
  </si>
  <si>
    <t>• Uses vectors to represent position, direction, and movement in Unity.</t>
  </si>
  <si>
    <t>• Distinguishes between local and world space when positioning or moving objects.</t>
  </si>
  <si>
    <t>• Applies transformations (Translate, Rotate, Scale) correctly in simple contexts.</t>
  </si>
  <si>
    <t>• Uses vector operations such as magnitude and normalization for movement and collision logic.</t>
  </si>
  <si>
    <t>• Uses quaternion operations to implement smooth or complex rotations.</t>
  </si>
  <si>
    <t>• Implements advanced vector based physics behaviors using raycasting (e.g. line of sight, ground checks).</t>
  </si>
  <si>
    <t>• Game is structured into at least three scenes (e.g. Start, Main, End).</t>
  </si>
  <si>
    <t>• UI uses a professional layout (e.g. consistent fonts, margins, font sizes) and is resolution independent.</t>
  </si>
  <si>
    <t>• Implements an interactive tutorial (context-sensitive instructions that respond to your actions).</t>
  </si>
  <si>
    <t>• Game is free from noticeable bugs</t>
  </si>
  <si>
    <t>• Game's goal and gameplay are understandable without the student's assistance.</t>
  </si>
  <si>
    <t>• Demonstrates complex boolean logic (multiple &amp;&amp;, ||) where needed for conditions.</t>
  </si>
  <si>
    <t>• Uses Unity’s lifecycle methods (Awake, Start, Update, FixedUpdate) appropriately to implement frame-dependent events (eg key/mouse presses) or frame-independent behavior (eg movement).</t>
  </si>
  <si>
    <t>• Implements correct collision resolution for realistic/complex interactions.</t>
  </si>
  <si>
    <t>• Separates physics and input operations correctly between Update and FixedUpdate.</t>
  </si>
  <si>
    <t>• Uses arrays or Lists for random or indexed operations.</t>
  </si>
  <si>
    <t>• You filled in this entire self assessment template (see the Criteria - ISGE Layout tab)</t>
  </si>
  <si>
    <t>Upload requirements</t>
  </si>
  <si>
    <t>• Screenshot of your game running fullscreen in a build</t>
  </si>
  <si>
    <t>• You scored sufficient at least on ALL criteria.</t>
  </si>
  <si>
    <t>• You can explain how and why all implemented features work the way they do</t>
  </si>
  <si>
    <t>Preconditions for being graded - check the boxes! (Install offline Microsoft Excel from office.saxion.nl if you don't see checkboxes)</t>
  </si>
  <si>
    <r>
      <t xml:space="preserve">• A filled in </t>
    </r>
    <r>
      <rPr>
        <b/>
        <sz val="11"/>
        <color theme="1"/>
        <rFont val="Calibri"/>
        <family val="2"/>
        <scheme val="minor"/>
      </rPr>
      <t xml:space="preserve">and renamed </t>
    </r>
    <r>
      <rPr>
        <sz val="11"/>
        <color theme="1"/>
        <rFont val="Calibri"/>
        <family val="2"/>
        <scheme val="minor"/>
      </rPr>
      <t>self evaluation (see next tab)</t>
    </r>
  </si>
  <si>
    <t>• All upload requirements below are met</t>
  </si>
  <si>
    <r>
      <t xml:space="preserve">• A video in .mp4 format (max 5 minutes long), </t>
    </r>
    <r>
      <rPr>
        <i/>
        <sz val="11"/>
        <color theme="1"/>
        <rFont val="Calibri"/>
        <family val="2"/>
        <scheme val="minor"/>
      </rPr>
      <t xml:space="preserve">submitted using </t>
    </r>
    <r>
      <rPr>
        <b/>
        <i/>
        <sz val="11"/>
        <color theme="1"/>
        <rFont val="Calibri"/>
        <family val="2"/>
        <scheme val="minor"/>
      </rPr>
      <t>Kaltura</t>
    </r>
    <r>
      <rPr>
        <sz val="11"/>
        <color theme="1"/>
        <rFont val="Calibri"/>
        <family val="2"/>
        <scheme val="minor"/>
      </rPr>
      <t xml:space="preserve"> showing a play through of your game that proves you meet all the listed externally visible requirements.</t>
    </r>
  </si>
  <si>
    <r>
      <t xml:space="preserve">SELF ASSESSMENT TEMPLATE - </t>
    </r>
    <r>
      <rPr>
        <sz val="24"/>
        <color theme="1"/>
        <rFont val="Calibri"/>
        <family val="2"/>
        <scheme val="minor"/>
      </rPr>
      <t xml:space="preserve">HIGHLIGHT IN GREEN WHAT APPLIES, </t>
    </r>
    <r>
      <rPr>
        <b/>
        <sz val="24"/>
        <color theme="1"/>
        <rFont val="Calibri"/>
        <family val="2"/>
        <scheme val="minor"/>
      </rPr>
      <t>THEN</t>
    </r>
    <r>
      <rPr>
        <sz val="24"/>
        <color theme="1"/>
        <rFont val="Calibri"/>
        <family val="2"/>
        <scheme val="minor"/>
      </rPr>
      <t xml:space="preserve"> SELECT </t>
    </r>
    <r>
      <rPr>
        <b/>
        <sz val="24"/>
        <color theme="1"/>
        <rFont val="Calibri"/>
        <family val="2"/>
        <scheme val="minor"/>
      </rPr>
      <t>I</t>
    </r>
    <r>
      <rPr>
        <sz val="24"/>
        <color theme="1"/>
        <rFont val="Calibri"/>
        <family val="2"/>
        <scheme val="minor"/>
      </rPr>
      <t xml:space="preserve">, </t>
    </r>
    <r>
      <rPr>
        <b/>
        <sz val="24"/>
        <color theme="1"/>
        <rFont val="Calibri"/>
        <family val="2"/>
        <scheme val="minor"/>
      </rPr>
      <t>S</t>
    </r>
    <r>
      <rPr>
        <sz val="24"/>
        <color theme="1"/>
        <rFont val="Calibri"/>
        <family val="2"/>
        <scheme val="minor"/>
      </rPr>
      <t xml:space="preserve">, </t>
    </r>
    <r>
      <rPr>
        <b/>
        <sz val="24"/>
        <color theme="1"/>
        <rFont val="Calibri"/>
        <family val="2"/>
        <scheme val="minor"/>
      </rPr>
      <t>G</t>
    </r>
    <r>
      <rPr>
        <sz val="24"/>
        <color theme="1"/>
        <rFont val="Calibri"/>
        <family val="2"/>
        <scheme val="minor"/>
      </rPr>
      <t xml:space="preserve"> OR </t>
    </r>
    <r>
      <rPr>
        <b/>
        <sz val="24"/>
        <color theme="1"/>
        <rFont val="Calibri"/>
        <family val="2"/>
        <scheme val="minor"/>
      </rPr>
      <t>E</t>
    </r>
    <r>
      <rPr>
        <sz val="24"/>
        <color theme="1"/>
        <rFont val="Calibri"/>
        <family val="2"/>
        <scheme val="minor"/>
      </rPr>
      <t xml:space="preserve"> IN THE DROPDOWN ON THE </t>
    </r>
    <r>
      <rPr>
        <b/>
        <sz val="24"/>
        <color theme="1"/>
        <rFont val="Calibri"/>
        <family val="2"/>
        <scheme val="minor"/>
      </rPr>
      <t>RIGHT</t>
    </r>
  </si>
  <si>
    <t>Criteria</t>
  </si>
  <si>
    <t>Insufficient</t>
  </si>
  <si>
    <t>Sufficient</t>
  </si>
  <si>
    <t>Good</t>
  </si>
  <si>
    <t>Excellent</t>
  </si>
  <si>
    <t>0 points</t>
  </si>
  <si>
    <r>
      <t xml:space="preserve">• At least </t>
    </r>
    <r>
      <rPr>
        <i/>
        <sz val="11"/>
        <color theme="1"/>
        <rFont val="Calibri"/>
        <family val="2"/>
        <scheme val="minor"/>
      </rPr>
      <t>half</t>
    </r>
    <r>
      <rPr>
        <sz val="11"/>
        <color theme="1"/>
        <rFont val="Calibri"/>
        <family val="2"/>
        <scheme val="minor"/>
      </rPr>
      <t xml:space="preserve"> of the excellent critera </t>
    </r>
    <r>
      <rPr>
        <i/>
        <sz val="11"/>
        <color theme="1"/>
        <rFont val="Calibri"/>
        <family val="2"/>
        <scheme val="minor"/>
      </rPr>
      <t xml:space="preserve">rounded up </t>
    </r>
    <r>
      <rPr>
        <sz val="11"/>
        <color theme="1"/>
        <rFont val="Calibri"/>
        <family val="2"/>
        <scheme val="minor"/>
      </rPr>
      <t>are met.</t>
    </r>
  </si>
  <si>
    <t>• Game features at least three different types of interactivity 
(e.g. powerups with different effects, picking up objects, activating objects, moving obstacles).</t>
  </si>
  <si>
    <t>• Game has a clear win/lose condition (e.g. finish the level, gain the highscore, …).</t>
  </si>
  <si>
    <t>• Provides clear, context-sensitive instructions.</t>
  </si>
  <si>
    <t>• Game uses advanced UI elements (e.g. multiple panels, layout managers, drag &amp; drop, …) or extensive menus</t>
  </si>
  <si>
    <t>2.5 points</t>
  </si>
  <si>
    <t>• Variable names are clear and descriptive.</t>
  </si>
  <si>
    <t>• Variables have been exposed in the Inspector where applicable.</t>
  </si>
  <si>
    <t>Student applies Unity’s component-based programming
 model to create and connect interactive GameObjects</t>
  </si>
  <si>
    <t>Learning goal 4: Vector Math &amp; Physics</t>
  </si>
  <si>
    <t>• Includes at least 5 scripts written independently (not copy-pasted from bootcamps/tutorials).</t>
  </si>
  <si>
    <t>• Uses polymorphism (custom base class + subclasses) to improve readability and flexibility in handling collections.</t>
  </si>
  <si>
    <t>Student applies vector mathematics and Unity’s physics
 system to implement movement, collisions, and interactions</t>
  </si>
  <si>
    <t>Student integrates programming, Unity components, math, 
and physics to create a complete functional/playable game.</t>
  </si>
  <si>
    <t>• Student understands basic vector math like addition, subtraction and multiplication.</t>
  </si>
  <si>
    <t>• Implements complex mathematical movement patterns (e.g. sine/cosine oscillations, Polar ↔ Cartesian conversion).</t>
  </si>
  <si>
    <t>• Applies correct conversions between coordinate spaces (e.g. TransformDirection, InverseTransformDirection, Quaternion (inverse) multiplication), demonstrating a clear understanding of nested coordinate systems.</t>
  </si>
  <si>
    <t>• Data structures have been chosen with performance in mind.</t>
  </si>
  <si>
    <t>• Includes clear header documentation.</t>
  </si>
  <si>
    <t>• Not all sufficient criteria have been met.</t>
  </si>
  <si>
    <t>• The game is a clear copy of a bootcamp project.</t>
  </si>
  <si>
    <t>• The debug log is flooded with exceptions at runtime.</t>
  </si>
  <si>
    <t>• UI provides feedback on player's progress towards the goal.</t>
  </si>
  <si>
    <t xml:space="preserve">• UI is clear and readable (for a specific resolution), presenting all important (dynamic) game data.
</t>
  </si>
  <si>
    <r>
      <t>• Game has no game-</t>
    </r>
    <r>
      <rPr>
        <i/>
        <sz val="11"/>
        <color theme="1"/>
        <rFont val="Calibri"/>
        <family val="2"/>
        <scheme val="minor"/>
      </rPr>
      <t>breaking</t>
    </r>
    <r>
      <rPr>
        <sz val="11"/>
        <color theme="1"/>
        <rFont val="Calibri"/>
        <family val="2"/>
        <scheme val="minor"/>
      </rPr>
      <t xml:space="preserve"> bugs.</t>
    </r>
  </si>
  <si>
    <t>• Variables are using the correct scope (local/global).</t>
  </si>
  <si>
    <t>• Simple boolean logic has been used in combination with if statements.</t>
  </si>
  <si>
    <t>• Implements simple centralized game logic (e.g. using a Singleton GameManager).</t>
  </si>
  <si>
    <t>• Uses basic Unity API functionalities (Input, Mathf, Random, transform, gameObject, Time).</t>
  </si>
  <si>
    <t>• Consistently applies component caching where possible.</t>
  </si>
  <si>
    <t>• Uses efficient methods for linking objects (e.g. no FindAllObjectsOfType &lt;&gt;).</t>
  </si>
  <si>
    <t>• Uses Scriptable objects in a sensible way.</t>
  </si>
  <si>
    <t>• Has implemented Object pooling or other patterns besides a Singleton.</t>
  </si>
  <si>
    <t>S</t>
  </si>
  <si>
    <t>TOTAL GRADE (ONLY VALID IF GREEN):</t>
  </si>
  <si>
    <t>=</t>
  </si>
  <si>
    <t>HAND IN COMPLETE (SEE TAB 1)?</t>
  </si>
  <si>
    <t>NO</t>
  </si>
  <si>
    <t>• Game provides player feedback through audio &amp; visual effects (e.g. particles, animations).</t>
  </si>
  <si>
    <t>• Game includes strong “juice” elements (e.g. camera shakes, particles, polish that enhance game feel)</t>
  </si>
  <si>
    <t>• Game includes interesting level progression or mechanics (e.g. new challenges, different levels, designed difficulty 
(as in: just adding more zombies doesn't count))</t>
  </si>
  <si>
    <t>• Game’s look and feel are polished, professional, and suitable for a 1st semester portfolio piece, e.g.:
 - No standard skybox / default buttons
 - No ultra low resolution, pixelated images
 - It is not a "primitives-with-default-materials" only game</t>
  </si>
  <si>
    <t>• Game implements at least one core mechanic beyond basic movement controls (e.g. shooting).</t>
  </si>
  <si>
    <t>1.375 points</t>
  </si>
  <si>
    <t>1,875 points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</si>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</sst>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4" borderId="0" xfId="0" applyFill="1" applyAlignment="1">
      <alignment horizontal="left" vertical="top" wrapText="1"/>
    </xf>
    <xf numFmtId="0" fontId="0" fillId="0" borderId="0" xfId="0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top"/>
    </xf>
    <xf numFmtId="0" fontId="0" fillId="0" borderId="0" xfId="0" applyAlignment="1">
      <alignment horizontal="left" vertical="center" inden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0" fillId="0" borderId="0" xfId="0" applyAlignment="1" applyProtection="1">
      <alignment vertical="center" wrapText="1"/>
      <protection locked="0"/>
    </xf>
    <xf numFmtId="0" fontId="3" fillId="3" borderId="10" xfId="0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9" xfId="0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21" xfId="0" applyBorder="1" applyAlignment="1">
      <alignment vertical="top" wrapText="1"/>
    </xf>
    <xf numFmtId="0" fontId="0" fillId="0" borderId="21" xfId="0" applyBorder="1" applyAlignment="1">
      <alignment wrapText="1"/>
    </xf>
    <xf numFmtId="0" fontId="0" fillId="0" borderId="11" xfId="0" applyBorder="1" applyAlignment="1">
      <alignment vertical="top" wrapText="1"/>
    </xf>
    <xf numFmtId="0" fontId="0" fillId="0" borderId="15" xfId="0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vertical="center" wrapText="1"/>
      <protection locked="0"/>
    </xf>
    <xf numFmtId="0" fontId="0" fillId="0" borderId="20" xfId="0" applyBorder="1" applyAlignment="1" applyProtection="1">
      <alignment vertical="center" wrapText="1"/>
      <protection locked="0"/>
    </xf>
    <xf numFmtId="0" fontId="0" fillId="0" borderId="1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 applyProtection="1">
      <alignment vertical="center" wrapText="1"/>
      <protection locked="0"/>
    </xf>
    <xf numFmtId="0" fontId="0" fillId="0" borderId="2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20" xfId="0" applyBorder="1" applyAlignment="1">
      <alignment horizontal="left" vertical="top" wrapText="1"/>
    </xf>
    <xf numFmtId="0" fontId="0" fillId="9" borderId="0" xfId="0" applyFill="1"/>
    <xf numFmtId="0" fontId="0" fillId="9" borderId="0" xfId="0" applyFill="1" applyAlignment="1">
      <alignment vertical="top" wrapText="1"/>
    </xf>
    <xf numFmtId="0" fontId="0" fillId="9" borderId="0" xfId="0" applyFill="1" applyAlignment="1">
      <alignment horizontal="left" vertical="top" wrapText="1"/>
    </xf>
    <xf numFmtId="0" fontId="0" fillId="9" borderId="0" xfId="0" applyFill="1" applyAlignment="1">
      <alignment wrapText="1"/>
    </xf>
    <xf numFmtId="0" fontId="0" fillId="10" borderId="21" xfId="0" applyFill="1" applyBorder="1" applyAlignment="1">
      <alignment horizontal="left" vertical="top" wrapText="1"/>
    </xf>
    <xf numFmtId="0" fontId="0" fillId="10" borderId="11" xfId="0" applyFill="1" applyBorder="1" applyAlignment="1">
      <alignment horizontal="left" vertical="top" wrapText="1"/>
    </xf>
    <xf numFmtId="0" fontId="0" fillId="10" borderId="10" xfId="0" applyFill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 wrapText="1" indent="1"/>
    </xf>
    <xf numFmtId="0" fontId="3" fillId="5" borderId="7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10" borderId="21" xfId="0" applyFill="1" applyBorder="1" applyAlignment="1">
      <alignment horizontal="left" vertical="top" wrapText="1"/>
    </xf>
    <xf numFmtId="1" fontId="7" fillId="0" borderId="10" xfId="0" quotePrefix="1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21" xfId="0" applyFont="1" applyFill="1" applyBorder="1" applyAlignment="1" applyProtection="1">
      <alignment horizontal="center" vertical="center"/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49" fontId="7" fillId="7" borderId="10" xfId="0" quotePrefix="1" applyNumberFormat="1" applyFont="1" applyFill="1" applyBorder="1" applyAlignment="1">
      <alignment horizontal="center" vertical="center"/>
    </xf>
    <xf numFmtId="49" fontId="7" fillId="7" borderId="11" xfId="0" quotePrefix="1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2" fontId="7" fillId="0" borderId="10" xfId="0" quotePrefix="1" applyNumberFormat="1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49" fontId="7" fillId="0" borderId="10" xfId="0" quotePrefix="1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0" fontId="0" fillId="10" borderId="15" xfId="0" applyFill="1" applyBorder="1" applyAlignment="1">
      <alignment wrapText="1"/>
    </xf>
    <xf numFmtId="0" fontId="0" fillId="10" borderId="17" xfId="0" applyFill="1" applyBorder="1" applyAlignment="1">
      <alignment wrapText="1"/>
    </xf>
    <xf numFmtId="0" fontId="0" fillId="10" borderId="17" xfId="0" applyFill="1" applyBorder="1" applyAlignment="1">
      <alignment horizontal="left" vertical="top" wrapText="1"/>
    </xf>
    <xf numFmtId="0" fontId="0" fillId="0" borderId="21" xfId="0" applyFill="1" applyBorder="1" applyAlignment="1">
      <alignment vertical="top" wrapText="1"/>
    </xf>
  </cellXfs>
  <cellStyles count="1">
    <cellStyle name="Standaard" xfId="0" builtinId="0"/>
  </cellStyles>
  <dxfs count="10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8245-6DB2-482B-981C-FC0CA8ECE465}">
  <dimension ref="A1:E11"/>
  <sheetViews>
    <sheetView tabSelected="1" zoomScale="115" zoomScaleNormal="115" workbookViewId="0">
      <selection activeCell="A10" sqref="A10"/>
    </sheetView>
  </sheetViews>
  <sheetFormatPr defaultRowHeight="14.4" x14ac:dyDescent="0.3"/>
  <cols>
    <col min="1" max="1" width="123.6640625" style="9" customWidth="1"/>
  </cols>
  <sheetData>
    <row r="1" spans="1:5" x14ac:dyDescent="0.3">
      <c r="A1" s="6" t="s">
        <v>43</v>
      </c>
    </row>
    <row r="2" spans="1:5" x14ac:dyDescent="0.3">
      <c r="A2" s="7" t="s">
        <v>41</v>
      </c>
      <c r="B2" s="8" t="b">
        <v>1</v>
      </c>
    </row>
    <row r="3" spans="1:5" x14ac:dyDescent="0.3">
      <c r="A3" s="7" t="s">
        <v>38</v>
      </c>
      <c r="B3" s="8" t="b">
        <v>1</v>
      </c>
    </row>
    <row r="4" spans="1:5" x14ac:dyDescent="0.3">
      <c r="A4" s="7" t="s">
        <v>42</v>
      </c>
      <c r="B4" s="8" t="b">
        <v>1</v>
      </c>
    </row>
    <row r="5" spans="1:5" x14ac:dyDescent="0.3">
      <c r="A5" s="7" t="s">
        <v>45</v>
      </c>
      <c r="B5" s="8" t="b">
        <v>0</v>
      </c>
    </row>
    <row r="6" spans="1:5" x14ac:dyDescent="0.3">
      <c r="A6"/>
    </row>
    <row r="7" spans="1:5" x14ac:dyDescent="0.3">
      <c r="A7" s="1" t="s">
        <v>39</v>
      </c>
    </row>
    <row r="8" spans="1:5" x14ac:dyDescent="0.3">
      <c r="A8" s="2" t="s">
        <v>44</v>
      </c>
      <c r="B8" s="8" t="b">
        <v>0</v>
      </c>
      <c r="E8" s="10"/>
    </row>
    <row r="9" spans="1:5" x14ac:dyDescent="0.3">
      <c r="A9" s="2" t="s">
        <v>40</v>
      </c>
      <c r="B9" s="11" t="b">
        <v>0</v>
      </c>
    </row>
    <row r="10" spans="1:5" ht="28.8" x14ac:dyDescent="0.3">
      <c r="A10" s="3" t="s">
        <v>46</v>
      </c>
    </row>
    <row r="11" spans="1:5" x14ac:dyDescent="0.3">
      <c r="A11"/>
    </row>
  </sheetData>
  <sheetProtection selectLockedCells="1"/>
  <conditionalFormatting sqref="A2:A5">
    <cfRule type="expression" dxfId="9" priority="5">
      <formula>B2=FALSE</formula>
    </cfRule>
    <cfRule type="expression" dxfId="8" priority="6">
      <formula>B2=TRUE</formula>
    </cfRule>
  </conditionalFormatting>
  <conditionalFormatting sqref="A8:A9">
    <cfRule type="expression" dxfId="7" priority="9">
      <formula>B8=FALSE</formula>
    </cfRule>
    <cfRule type="expression" dxfId="6" priority="10">
      <formula>B8=TRUE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0465-0925-4468-A1C5-FE69DD8C485E}">
  <dimension ref="A1:H54"/>
  <sheetViews>
    <sheetView topLeftCell="C1" zoomScale="115" zoomScaleNormal="115" workbookViewId="0">
      <selection activeCell="E49" sqref="E49"/>
    </sheetView>
  </sheetViews>
  <sheetFormatPr defaultRowHeight="14.4" x14ac:dyDescent="0.3"/>
  <cols>
    <col min="1" max="1" width="56" style="5" customWidth="1"/>
    <col min="2" max="2" width="50.88671875" style="3" customWidth="1"/>
    <col min="3" max="3" width="90.88671875" style="5" customWidth="1"/>
    <col min="4" max="4" width="57.5546875" style="3" customWidth="1"/>
    <col min="5" max="5" width="110.33203125" style="3" customWidth="1"/>
    <col min="7" max="7" width="8.5546875" customWidth="1"/>
  </cols>
  <sheetData>
    <row r="1" spans="1:6" ht="31.5" customHeight="1" thickBot="1" x14ac:dyDescent="0.35">
      <c r="A1" s="59" t="s">
        <v>47</v>
      </c>
      <c r="B1" s="60"/>
      <c r="C1" s="60"/>
      <c r="D1" s="60"/>
      <c r="E1" s="61"/>
    </row>
    <row r="2" spans="1:6" ht="5.25" customHeight="1" thickBot="1" x14ac:dyDescent="0.35">
      <c r="A2" s="10"/>
      <c r="B2" s="12"/>
      <c r="D2" s="12"/>
      <c r="E2" s="5"/>
    </row>
    <row r="3" spans="1:6" x14ac:dyDescent="0.3">
      <c r="A3" s="62" t="s">
        <v>48</v>
      </c>
      <c r="B3" s="13" t="s">
        <v>49</v>
      </c>
      <c r="C3" s="14" t="s">
        <v>50</v>
      </c>
      <c r="D3" s="14" t="s">
        <v>51</v>
      </c>
      <c r="E3" s="15" t="s">
        <v>52</v>
      </c>
      <c r="F3" s="2"/>
    </row>
    <row r="4" spans="1:6" ht="15" thickBot="1" x14ac:dyDescent="0.35">
      <c r="A4" s="63"/>
      <c r="B4" s="16" t="s">
        <v>53</v>
      </c>
      <c r="C4" s="17" t="s">
        <v>97</v>
      </c>
      <c r="D4" s="17" t="s">
        <v>98</v>
      </c>
      <c r="E4" s="18" t="s">
        <v>59</v>
      </c>
      <c r="F4" s="2"/>
    </row>
    <row r="5" spans="1:6" ht="3.75" customHeight="1" thickBot="1" x14ac:dyDescent="0.35">
      <c r="A5" s="19"/>
      <c r="B5" s="20"/>
      <c r="C5" s="21"/>
      <c r="D5" s="21"/>
      <c r="E5" s="21"/>
      <c r="F5" s="2"/>
    </row>
    <row r="6" spans="1:6" ht="21.9" customHeight="1" thickBot="1" x14ac:dyDescent="0.35">
      <c r="A6" s="24" t="s">
        <v>1</v>
      </c>
      <c r="B6" s="47"/>
      <c r="C6" s="47"/>
      <c r="D6" s="47"/>
      <c r="E6" s="47"/>
    </row>
    <row r="7" spans="1:6" ht="15" customHeight="1" x14ac:dyDescent="0.3">
      <c r="A7" s="56" t="s">
        <v>67</v>
      </c>
      <c r="B7" s="30" t="s">
        <v>73</v>
      </c>
      <c r="C7" s="53" t="s">
        <v>32</v>
      </c>
      <c r="D7" s="34" t="s">
        <v>54</v>
      </c>
      <c r="E7" s="37" t="s">
        <v>57</v>
      </c>
      <c r="F7" s="70" t="s">
        <v>87</v>
      </c>
    </row>
    <row r="8" spans="1:6" ht="15" customHeight="1" x14ac:dyDescent="0.3">
      <c r="A8" s="57"/>
      <c r="B8" s="31" t="s">
        <v>74</v>
      </c>
      <c r="C8" s="51" t="s">
        <v>56</v>
      </c>
      <c r="D8" s="35"/>
      <c r="E8" s="38" t="s">
        <v>30</v>
      </c>
      <c r="F8" s="71"/>
    </row>
    <row r="9" spans="1:6" ht="15" customHeight="1" x14ac:dyDescent="0.3">
      <c r="A9" s="57"/>
      <c r="B9" s="31"/>
      <c r="C9" s="51" t="s">
        <v>28</v>
      </c>
      <c r="D9" s="35"/>
      <c r="E9" s="67" t="s">
        <v>94</v>
      </c>
      <c r="F9" s="71"/>
    </row>
    <row r="10" spans="1:6" ht="15" customHeight="1" x14ac:dyDescent="0.3">
      <c r="A10" s="57"/>
      <c r="B10" s="32"/>
      <c r="C10" s="51" t="s">
        <v>6</v>
      </c>
      <c r="D10" s="35"/>
      <c r="E10" s="67"/>
      <c r="F10" s="71"/>
    </row>
    <row r="11" spans="1:6" ht="15" customHeight="1" x14ac:dyDescent="0.3">
      <c r="A11" s="57"/>
      <c r="B11" s="31"/>
      <c r="C11" s="51" t="s">
        <v>96</v>
      </c>
      <c r="D11" s="35"/>
      <c r="E11" s="51" t="s">
        <v>29</v>
      </c>
      <c r="F11" s="71"/>
    </row>
    <row r="12" spans="1:6" ht="15" customHeight="1" x14ac:dyDescent="0.3">
      <c r="A12" s="57"/>
      <c r="B12" s="32"/>
      <c r="C12" s="86" t="s">
        <v>55</v>
      </c>
      <c r="D12" s="35"/>
      <c r="E12" s="38" t="s">
        <v>58</v>
      </c>
      <c r="F12" s="71"/>
    </row>
    <row r="13" spans="1:6" ht="15" customHeight="1" x14ac:dyDescent="0.3">
      <c r="A13" s="57"/>
      <c r="B13" s="31"/>
      <c r="C13" s="86"/>
      <c r="D13" s="35"/>
      <c r="E13" s="38" t="s">
        <v>93</v>
      </c>
      <c r="F13" s="71"/>
    </row>
    <row r="14" spans="1:6" ht="15" customHeight="1" x14ac:dyDescent="0.3">
      <c r="A14" s="57"/>
      <c r="B14" s="31"/>
      <c r="C14" s="51" t="s">
        <v>92</v>
      </c>
      <c r="D14" s="35"/>
      <c r="E14" s="51" t="s">
        <v>31</v>
      </c>
      <c r="F14" s="71"/>
    </row>
    <row r="15" spans="1:6" ht="15" customHeight="1" x14ac:dyDescent="0.3">
      <c r="A15" s="57"/>
      <c r="B15" s="31"/>
      <c r="C15" s="51" t="s">
        <v>76</v>
      </c>
      <c r="D15" s="35"/>
      <c r="E15" s="55" t="s">
        <v>95</v>
      </c>
      <c r="F15" s="71"/>
    </row>
    <row r="16" spans="1:6" ht="15" customHeight="1" x14ac:dyDescent="0.3">
      <c r="A16" s="57"/>
      <c r="B16" s="31"/>
      <c r="C16" s="51" t="s">
        <v>77</v>
      </c>
      <c r="D16" s="35"/>
      <c r="E16" s="55"/>
      <c r="F16" s="71"/>
    </row>
    <row r="17" spans="1:6" ht="15" customHeight="1" x14ac:dyDescent="0.3">
      <c r="A17" s="57"/>
      <c r="B17" s="31"/>
      <c r="C17" s="51" t="s">
        <v>4</v>
      </c>
      <c r="D17" s="35"/>
      <c r="E17" s="55"/>
      <c r="F17" s="71"/>
    </row>
    <row r="18" spans="1:6" ht="15" customHeight="1" x14ac:dyDescent="0.3">
      <c r="A18" s="57"/>
      <c r="B18" s="31"/>
      <c r="C18" s="51" t="s">
        <v>78</v>
      </c>
      <c r="D18" s="35"/>
      <c r="E18" s="55"/>
      <c r="F18" s="71"/>
    </row>
    <row r="19" spans="1:6" ht="15" customHeight="1" thickBot="1" x14ac:dyDescent="0.35">
      <c r="A19" s="58"/>
      <c r="B19" s="33"/>
      <c r="C19" s="52" t="s">
        <v>5</v>
      </c>
      <c r="D19" s="36"/>
      <c r="E19" s="40"/>
      <c r="F19" s="72"/>
    </row>
    <row r="20" spans="1:6" ht="3.75" customHeight="1" thickBot="1" x14ac:dyDescent="0.35">
      <c r="B20" s="4"/>
      <c r="D20" s="23"/>
    </row>
    <row r="21" spans="1:6" ht="21.9" customHeight="1" thickBot="1" x14ac:dyDescent="0.35">
      <c r="A21" s="24" t="s">
        <v>2</v>
      </c>
      <c r="B21" s="48"/>
      <c r="C21" s="49"/>
      <c r="D21" s="49"/>
      <c r="E21" s="49"/>
    </row>
    <row r="22" spans="1:6" ht="15" customHeight="1" x14ac:dyDescent="0.3">
      <c r="A22" s="64" t="s">
        <v>0</v>
      </c>
      <c r="B22" s="25" t="s">
        <v>73</v>
      </c>
      <c r="C22" s="53" t="s">
        <v>9</v>
      </c>
      <c r="D22" s="34" t="s">
        <v>54</v>
      </c>
      <c r="E22" s="37" t="s">
        <v>72</v>
      </c>
      <c r="F22" s="70" t="s">
        <v>87</v>
      </c>
    </row>
    <row r="23" spans="1:6" ht="15" customHeight="1" x14ac:dyDescent="0.3">
      <c r="A23" s="65"/>
      <c r="B23" s="4" t="s">
        <v>7</v>
      </c>
      <c r="C23" s="51" t="s">
        <v>60</v>
      </c>
      <c r="D23" s="28"/>
      <c r="E23" s="38" t="s">
        <v>33</v>
      </c>
      <c r="F23" s="71"/>
    </row>
    <row r="24" spans="1:6" ht="15" customHeight="1" x14ac:dyDescent="0.3">
      <c r="A24" s="65"/>
      <c r="B24" s="5" t="s">
        <v>75</v>
      </c>
      <c r="C24" s="51" t="s">
        <v>61</v>
      </c>
      <c r="D24" s="28"/>
      <c r="E24" s="38" t="s">
        <v>65</v>
      </c>
      <c r="F24" s="71"/>
    </row>
    <row r="25" spans="1:6" ht="15" customHeight="1" x14ac:dyDescent="0.3">
      <c r="A25" s="65"/>
      <c r="B25" s="5"/>
      <c r="C25" s="51" t="s">
        <v>79</v>
      </c>
      <c r="D25" s="28"/>
      <c r="E25" s="38" t="s">
        <v>12</v>
      </c>
      <c r="F25" s="71"/>
    </row>
    <row r="26" spans="1:6" ht="15" customHeight="1" x14ac:dyDescent="0.3">
      <c r="A26" s="65"/>
      <c r="C26" s="51" t="s">
        <v>80</v>
      </c>
      <c r="D26" s="28"/>
      <c r="E26" s="51" t="s">
        <v>14</v>
      </c>
      <c r="F26" s="71"/>
    </row>
    <row r="27" spans="1:6" ht="15" customHeight="1" x14ac:dyDescent="0.3">
      <c r="A27" s="65"/>
      <c r="B27" s="4"/>
      <c r="C27" s="51" t="s">
        <v>10</v>
      </c>
      <c r="D27" s="28"/>
      <c r="E27" s="38" t="s">
        <v>13</v>
      </c>
      <c r="F27" s="71"/>
    </row>
    <row r="28" spans="1:6" ht="15" customHeight="1" x14ac:dyDescent="0.3">
      <c r="A28" s="65"/>
      <c r="B28" s="4"/>
      <c r="C28" s="51" t="s">
        <v>81</v>
      </c>
      <c r="D28" s="28"/>
      <c r="E28" s="51" t="s">
        <v>15</v>
      </c>
      <c r="F28" s="71"/>
    </row>
    <row r="29" spans="1:6" ht="15" customHeight="1" x14ac:dyDescent="0.3">
      <c r="A29" s="65"/>
      <c r="B29" s="4"/>
      <c r="C29" s="51" t="s">
        <v>11</v>
      </c>
      <c r="D29" s="28"/>
      <c r="E29" s="38" t="s">
        <v>71</v>
      </c>
      <c r="F29" s="71"/>
    </row>
    <row r="30" spans="1:6" ht="15" customHeight="1" thickBot="1" x14ac:dyDescent="0.35">
      <c r="A30" s="66"/>
      <c r="B30" s="26"/>
      <c r="C30" s="52" t="s">
        <v>37</v>
      </c>
      <c r="D30" s="29"/>
      <c r="E30" s="40"/>
      <c r="F30" s="72"/>
    </row>
    <row r="31" spans="1:6" ht="4.5" customHeight="1" thickBot="1" x14ac:dyDescent="0.35">
      <c r="B31" s="4"/>
      <c r="D31" s="27"/>
    </row>
    <row r="32" spans="1:6" ht="21.9" customHeight="1" thickBot="1" x14ac:dyDescent="0.35">
      <c r="A32" s="22" t="s">
        <v>3</v>
      </c>
      <c r="B32" s="50"/>
      <c r="C32" s="49"/>
      <c r="D32" s="50"/>
      <c r="E32" s="50"/>
    </row>
    <row r="33" spans="1:7" ht="15" customHeight="1" x14ac:dyDescent="0.3">
      <c r="A33" s="56" t="s">
        <v>62</v>
      </c>
      <c r="B33" s="41" t="s">
        <v>73</v>
      </c>
      <c r="C33" s="53" t="s">
        <v>82</v>
      </c>
      <c r="D33" s="42" t="s">
        <v>54</v>
      </c>
      <c r="E33" s="30" t="s">
        <v>83</v>
      </c>
      <c r="F33" s="70" t="s">
        <v>87</v>
      </c>
      <c r="G33" s="2"/>
    </row>
    <row r="34" spans="1:7" ht="15" customHeight="1" x14ac:dyDescent="0.3">
      <c r="A34" s="57"/>
      <c r="B34" s="31" t="s">
        <v>8</v>
      </c>
      <c r="C34" s="67" t="s">
        <v>34</v>
      </c>
      <c r="D34" s="43"/>
      <c r="E34" s="51" t="s">
        <v>84</v>
      </c>
      <c r="F34" s="71"/>
    </row>
    <row r="35" spans="1:7" ht="15" customHeight="1" x14ac:dyDescent="0.3">
      <c r="A35" s="57"/>
      <c r="B35" s="31" t="s">
        <v>75</v>
      </c>
      <c r="C35" s="67"/>
      <c r="D35" s="43"/>
      <c r="E35" s="38" t="s">
        <v>17</v>
      </c>
      <c r="F35" s="71"/>
    </row>
    <row r="36" spans="1:7" ht="15" customHeight="1" x14ac:dyDescent="0.3">
      <c r="A36" s="57"/>
      <c r="B36" s="31" t="s">
        <v>7</v>
      </c>
      <c r="C36" s="51" t="s">
        <v>20</v>
      </c>
      <c r="D36" s="43"/>
      <c r="E36" s="51" t="s">
        <v>18</v>
      </c>
      <c r="F36" s="71"/>
    </row>
    <row r="37" spans="1:7" ht="15" customHeight="1" x14ac:dyDescent="0.3">
      <c r="A37" s="57"/>
      <c r="B37" s="32"/>
      <c r="C37" s="51" t="s">
        <v>64</v>
      </c>
      <c r="D37" s="43"/>
      <c r="E37" s="51" t="s">
        <v>19</v>
      </c>
      <c r="F37" s="71"/>
    </row>
    <row r="38" spans="1:7" ht="15" customHeight="1" x14ac:dyDescent="0.3">
      <c r="A38" s="57"/>
      <c r="B38" s="31"/>
      <c r="C38" s="38"/>
      <c r="D38" s="43"/>
      <c r="E38" s="32" t="s">
        <v>85</v>
      </c>
      <c r="F38" s="71"/>
    </row>
    <row r="39" spans="1:7" ht="15" customHeight="1" thickBot="1" x14ac:dyDescent="0.35">
      <c r="A39" s="58"/>
      <c r="B39" s="33"/>
      <c r="C39" s="39"/>
      <c r="D39" s="44"/>
      <c r="E39" s="40" t="s">
        <v>86</v>
      </c>
      <c r="F39" s="72"/>
    </row>
    <row r="40" spans="1:7" ht="3.75" customHeight="1" thickBot="1" x14ac:dyDescent="0.35"/>
    <row r="41" spans="1:7" ht="18.600000000000001" thickBot="1" x14ac:dyDescent="0.35">
      <c r="A41" s="22" t="s">
        <v>63</v>
      </c>
      <c r="B41" s="50"/>
      <c r="C41" s="49"/>
      <c r="D41" s="50"/>
      <c r="E41" s="50"/>
    </row>
    <row r="42" spans="1:7" ht="15" customHeight="1" x14ac:dyDescent="0.3">
      <c r="A42" s="56" t="s">
        <v>66</v>
      </c>
      <c r="B42" s="41" t="s">
        <v>73</v>
      </c>
      <c r="C42" s="53" t="s">
        <v>22</v>
      </c>
      <c r="D42" s="42" t="s">
        <v>54</v>
      </c>
      <c r="E42" s="83" t="s">
        <v>25</v>
      </c>
      <c r="F42" s="70" t="s">
        <v>99</v>
      </c>
    </row>
    <row r="43" spans="1:7" ht="15" customHeight="1" x14ac:dyDescent="0.3">
      <c r="A43" s="57"/>
      <c r="B43" s="32"/>
      <c r="C43" s="51" t="s">
        <v>23</v>
      </c>
      <c r="D43" s="43"/>
      <c r="E43" s="84" t="s">
        <v>26</v>
      </c>
      <c r="F43" s="71"/>
    </row>
    <row r="44" spans="1:7" ht="15" customHeight="1" x14ac:dyDescent="0.3">
      <c r="A44" s="57"/>
      <c r="B44" s="32"/>
      <c r="C44" s="51" t="s">
        <v>24</v>
      </c>
      <c r="D44" s="43"/>
      <c r="E44" s="84" t="s">
        <v>27</v>
      </c>
      <c r="F44" s="71"/>
    </row>
    <row r="45" spans="1:7" ht="15" customHeight="1" x14ac:dyDescent="0.3">
      <c r="A45" s="57"/>
      <c r="B45" s="32"/>
      <c r="C45" s="51" t="s">
        <v>68</v>
      </c>
      <c r="D45" s="43"/>
      <c r="E45" s="45" t="s">
        <v>69</v>
      </c>
      <c r="F45" s="71"/>
    </row>
    <row r="46" spans="1:7" ht="15" customHeight="1" x14ac:dyDescent="0.3">
      <c r="A46" s="57"/>
      <c r="B46" s="32"/>
      <c r="C46" s="51" t="s">
        <v>21</v>
      </c>
      <c r="D46" s="43"/>
      <c r="E46" s="54" t="s">
        <v>70</v>
      </c>
      <c r="F46" s="71"/>
    </row>
    <row r="47" spans="1:7" ht="15" customHeight="1" x14ac:dyDescent="0.3">
      <c r="A47" s="57"/>
      <c r="B47" s="32"/>
      <c r="C47" s="51" t="s">
        <v>16</v>
      </c>
      <c r="D47" s="43"/>
      <c r="E47" s="54"/>
      <c r="F47" s="71"/>
    </row>
    <row r="48" spans="1:7" ht="15" customHeight="1" x14ac:dyDescent="0.3">
      <c r="A48" s="57"/>
      <c r="B48" s="32"/>
      <c r="C48" s="38"/>
      <c r="D48" s="32"/>
      <c r="E48" s="85" t="s">
        <v>36</v>
      </c>
      <c r="F48" s="71"/>
    </row>
    <row r="49" spans="1:8" ht="15" customHeight="1" thickBot="1" x14ac:dyDescent="0.35">
      <c r="A49" s="58"/>
      <c r="B49" s="40"/>
      <c r="C49" s="39"/>
      <c r="D49" s="40"/>
      <c r="E49" s="46" t="s">
        <v>35</v>
      </c>
      <c r="F49" s="72"/>
    </row>
    <row r="50" spans="1:8" ht="15" customHeight="1" thickBot="1" x14ac:dyDescent="0.35"/>
    <row r="51" spans="1:8" ht="15" customHeight="1" x14ac:dyDescent="0.3">
      <c r="E51" s="73" t="s">
        <v>90</v>
      </c>
      <c r="F51" s="75" t="s">
        <v>91</v>
      </c>
    </row>
    <row r="52" spans="1:8" ht="15" customHeight="1" thickBot="1" x14ac:dyDescent="0.35">
      <c r="E52" s="74"/>
      <c r="F52" s="76"/>
    </row>
    <row r="53" spans="1:8" ht="15" customHeight="1" x14ac:dyDescent="0.3">
      <c r="E53" s="77" t="s">
        <v>88</v>
      </c>
      <c r="F53" s="79">
        <f>COUNTIF(F7:F49,"S")*(5.5/4) + COUNTIF(F7:F49,"G")*(7.5/4) + COUNTIF(F7:F49,"E")*2.5</f>
        <v>6.625</v>
      </c>
      <c r="G53" s="81" t="s">
        <v>89</v>
      </c>
      <c r="H53" s="68">
        <f>ROUND(F53,0)</f>
        <v>7</v>
      </c>
    </row>
    <row r="54" spans="1:8" ht="15.75" customHeight="1" thickBot="1" x14ac:dyDescent="0.35">
      <c r="E54" s="78"/>
      <c r="F54" s="80">
        <f>COUNTIF(F29:F50,"S")*0.375 + COUNTIF(F29:F50,"G")*0.55 + COUNTIF(F29:F50,"E")*0.75</f>
        <v>1.125</v>
      </c>
      <c r="G54" s="82"/>
      <c r="H54" s="69"/>
    </row>
  </sheetData>
  <mergeCells count="21">
    <mergeCell ref="E51:E52"/>
    <mergeCell ref="F51:F52"/>
    <mergeCell ref="E53:E54"/>
    <mergeCell ref="F53:F54"/>
    <mergeCell ref="G53:G54"/>
    <mergeCell ref="H53:H54"/>
    <mergeCell ref="F7:F19"/>
    <mergeCell ref="F22:F30"/>
    <mergeCell ref="F33:F39"/>
    <mergeCell ref="F42:F49"/>
    <mergeCell ref="A1:E1"/>
    <mergeCell ref="A3:A4"/>
    <mergeCell ref="A22:A30"/>
    <mergeCell ref="A33:A39"/>
    <mergeCell ref="C34:C35"/>
    <mergeCell ref="E46:E47"/>
    <mergeCell ref="E9:E10"/>
    <mergeCell ref="A42:A49"/>
    <mergeCell ref="A7:A19"/>
    <mergeCell ref="E15:E18"/>
    <mergeCell ref="C12:C13"/>
  </mergeCells>
  <conditionalFormatting sqref="F7">
    <cfRule type="cellIs" dxfId="5" priority="6" stopIfTrue="1" operator="equal">
      <formula>"I"</formula>
    </cfRule>
  </conditionalFormatting>
  <conditionalFormatting sqref="F22">
    <cfRule type="cellIs" dxfId="4" priority="5" stopIfTrue="1" operator="equal">
      <formula>"I"</formula>
    </cfRule>
  </conditionalFormatting>
  <conditionalFormatting sqref="F33">
    <cfRule type="cellIs" dxfId="3" priority="4" stopIfTrue="1" operator="equal">
      <formula>"I"</formula>
    </cfRule>
  </conditionalFormatting>
  <conditionalFormatting sqref="F42">
    <cfRule type="cellIs" dxfId="2" priority="3" stopIfTrue="1" operator="equal">
      <formula>"I"</formula>
    </cfRule>
  </conditionalFormatting>
  <conditionalFormatting sqref="F51">
    <cfRule type="cellIs" dxfId="1" priority="1" operator="equal">
      <formula>"NO"</formula>
    </cfRule>
  </conditionalFormatting>
  <conditionalFormatting sqref="F53:F54">
    <cfRule type="expression" dxfId="0" priority="2">
      <formula>(COUNTIF(F7:F49,"I")+COUNTIF(F51,"NO") &gt; 0)</formula>
    </cfRule>
  </conditionalFormatting>
  <dataValidations count="2">
    <dataValidation type="list" allowBlank="1" showInputMessage="1" showErrorMessage="1" sqref="F7 F22 F33 F42" xr:uid="{37ED79A7-11AE-4199-A276-37D033DA7248}">
      <formula1>"I,S,G,E"</formula1>
    </dataValidation>
    <dataValidation type="list" allowBlank="1" showInputMessage="1" showErrorMessage="1" sqref="F51" xr:uid="{6F3D8D6C-0149-4C70-BE89-7689D84F5F07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Tab 1 - Requirements check</vt:lpstr>
      <vt:lpstr>Tab 2 - Self 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Wichman</dc:creator>
  <cp:lastModifiedBy>Wesley van der Gragt</cp:lastModifiedBy>
  <cp:lastPrinted>2025-06-23T12:46:53Z</cp:lastPrinted>
  <dcterms:created xsi:type="dcterms:W3CDTF">2015-06-05T18:19:34Z</dcterms:created>
  <dcterms:modified xsi:type="dcterms:W3CDTF">2026-02-08T05:04:51Z</dcterms:modified>
</cp:coreProperties>
</file>